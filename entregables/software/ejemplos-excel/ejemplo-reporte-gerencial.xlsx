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Proformas" state="visible" r:id="rId5"/>
    <sheet sheetId="3" name="Separaciones" state="visible" r:id="rId6"/>
    <sheet sheetId="4" name="Cobranza" state="visible" r:id="rId7"/>
    <sheet sheetId="5" name="Clientes" state="visible" r:id="rId8"/>
    <sheet sheetId="6" name="Asesores" state="visible" r:id="rId9"/>
    <sheet sheetId="7" name="Inventario" state="visible" r:id="rId10"/>
  </sheets>
  <definedNames>
    <definedName name="_xlnm.Print_Titles" localSheetId="0">'Resumen'!$10:$10</definedName>
    <definedName name="_xlnm.Print_Titles" localSheetId="1">'Proformas'!$7:$7</definedName>
    <definedName name="_xlnm.Print_Titles" localSheetId="2">'Separaciones'!$7:$7</definedName>
    <definedName name="_xlnm.Print_Titles" localSheetId="3">'Cobranza'!$7:$7</definedName>
    <definedName name="_xlnm.Print_Titles" localSheetId="4">'Clientes'!$7:$7</definedName>
    <definedName name="_xlnm.Print_Titles" localSheetId="5">'Asesores'!$7:$7</definedName>
    <definedName name="_xlnm.Print_Titles" localSheetId="6">'Inventario'!$7:$7</definedName>
  </definedNames>
  <calcPr calcId="171027"/>
</workbook>
</file>

<file path=xl/sharedStrings.xml><?xml version="1.0" encoding="utf-8"?>
<sst xmlns="http://schemas.openxmlformats.org/spreadsheetml/2006/main" count="429" uniqueCount="165">
  <si>
    <t>REPORTE GERENCIAL COMERCIAL</t>
  </si>
  <si>
    <t>Al 25/10/2026 · Asesor: Carlos Ramírez</t>
  </si>
  <si>
    <t>COTIZADO ESTE MES</t>
  </si>
  <si>
    <t>COBRADO ESTE MES</t>
  </si>
  <si>
    <t>VENCIDO</t>
  </si>
  <si>
    <t>Indicador</t>
  </si>
  <si>
    <t>Cantidad</t>
  </si>
  <si>
    <t>Monto</t>
  </si>
  <si>
    <t>Detalle</t>
  </si>
  <si>
    <t>VENTAS</t>
  </si>
  <si>
    <t>Proformas emitidas este mes</t>
  </si>
  <si>
    <t>Monto cotizado</t>
  </si>
  <si>
    <t>Proformas emitidas (total)</t>
  </si>
  <si>
    <t/>
  </si>
  <si>
    <t>Separaciones este mes</t>
  </si>
  <si>
    <t>Montos recibidos</t>
  </si>
  <si>
    <t>Ventas en cobranza</t>
  </si>
  <si>
    <t>Saldo total en cobranza</t>
  </si>
  <si>
    <t>COBRANZA</t>
  </si>
  <si>
    <t>Cuotas vencidas</t>
  </si>
  <si>
    <t>Prioridad de cobro</t>
  </si>
  <si>
    <t>Por cobrar en 30 días</t>
  </si>
  <si>
    <t>Cobrado este mes</t>
  </si>
  <si>
    <t>CLIENTES</t>
  </si>
  <si>
    <t>Clientes en etapa: Nuevo</t>
  </si>
  <si>
    <t>Presupuesto declarado</t>
  </si>
  <si>
    <t>Clientes en etapa: Contactado</t>
  </si>
  <si>
    <t>Clientes en etapa: Visita agendada</t>
  </si>
  <si>
    <t>Clientes en etapa: Separado</t>
  </si>
  <si>
    <t>Clientes en etapa: Vendido</t>
  </si>
  <si>
    <t>Clientes en etapa: Descartado</t>
  </si>
  <si>
    <t>Clientes con contacto atrasado</t>
  </si>
  <si>
    <t>Llamar hoy</t>
  </si>
  <si>
    <t>INVENTARIO</t>
  </si>
  <si>
    <t>Lotes disponibles · La Planicie de Asia</t>
  </si>
  <si>
    <t>de 22 cargados</t>
  </si>
  <si>
    <t>Lotes disponibles · Las Terrazas de Cerro Azul</t>
  </si>
  <si>
    <t>sin inventario cargado</t>
  </si>
  <si>
    <t>Lotes disponibles · La Portada del Sol</t>
  </si>
  <si>
    <t>Lotes disponibles · Lirios del Mar de Asia</t>
  </si>
  <si>
    <t>PROFORMAS EMITIDAS</t>
  </si>
  <si>
    <t>N°</t>
  </si>
  <si>
    <t>Fecha</t>
  </si>
  <si>
    <t>Cliente</t>
  </si>
  <si>
    <t>Proyecto</t>
  </si>
  <si>
    <t>Mz / Lote</t>
  </si>
  <si>
    <t>Precio final</t>
  </si>
  <si>
    <t>Pago</t>
  </si>
  <si>
    <t>Asesor</t>
  </si>
  <si>
    <t>PF-2026-CR-0005</t>
  </si>
  <si>
    <t>María Fernanda Pérez Quispe</t>
  </si>
  <si>
    <t>La Planicie de Asia</t>
  </si>
  <si>
    <t>B / 3</t>
  </si>
  <si>
    <t>36 cuotas de S/ 622</t>
  </si>
  <si>
    <t>Carlos Ramírez</t>
  </si>
  <si>
    <t>PF-2026-CR-0004</t>
  </si>
  <si>
    <t>Jorge Salas Medina</t>
  </si>
  <si>
    <t>C / 2</t>
  </si>
  <si>
    <t>Al contado</t>
  </si>
  <si>
    <t>PF-2026-CR-0003</t>
  </si>
  <si>
    <t>Ana Lucía Torres Vega</t>
  </si>
  <si>
    <t>B / 7</t>
  </si>
  <si>
    <t>24 cuotas de S/ 967</t>
  </si>
  <si>
    <t>PF-2026-CR-0002</t>
  </si>
  <si>
    <t>Luis Alberto Rojas Huamán</t>
  </si>
  <si>
    <t>B / 4</t>
  </si>
  <si>
    <t>PF-2026-CR-0001</t>
  </si>
  <si>
    <t>TOTAL COTIZADO</t>
  </si>
  <si>
    <t>CONSTANCIAS DE SEPARACIÓN</t>
  </si>
  <si>
    <t>Proforma</t>
  </si>
  <si>
    <t>Medio de pago</t>
  </si>
  <si>
    <t>Operación</t>
  </si>
  <si>
    <t>Firmar hasta</t>
  </si>
  <si>
    <t>SEP-2026-CR-0001</t>
  </si>
  <si>
    <t>Transferencia bancaria</t>
  </si>
  <si>
    <t>00123456</t>
  </si>
  <si>
    <t>TOTAL SEPARADO</t>
  </si>
  <si>
    <t>CONTROL DE COBRANZA</t>
  </si>
  <si>
    <t>Vence</t>
  </si>
  <si>
    <t>Celular</t>
  </si>
  <si>
    <t>Cuota</t>
  </si>
  <si>
    <t>Importe</t>
  </si>
  <si>
    <t>Estado</t>
  </si>
  <si>
    <t>Pagado el</t>
  </si>
  <si>
    <t>987654321</t>
  </si>
  <si>
    <t>Saldo de inicial</t>
  </si>
  <si>
    <t>Pagada</t>
  </si>
  <si>
    <t>1 de 24</t>
  </si>
  <si>
    <t>Próxima</t>
  </si>
  <si>
    <t>2 de 24</t>
  </si>
  <si>
    <t>Programada</t>
  </si>
  <si>
    <t>3 de 24</t>
  </si>
  <si>
    <t>4 de 24</t>
  </si>
  <si>
    <t>5 de 24</t>
  </si>
  <si>
    <t>6 de 24</t>
  </si>
  <si>
    <t>7 de 24</t>
  </si>
  <si>
    <t>8 de 24</t>
  </si>
  <si>
    <t>9 de 24</t>
  </si>
  <si>
    <t>10 de 24</t>
  </si>
  <si>
    <t>11 de 24</t>
  </si>
  <si>
    <t>12 de 24</t>
  </si>
  <si>
    <t>13 de 24</t>
  </si>
  <si>
    <t>14 de 24</t>
  </si>
  <si>
    <t>15 de 24</t>
  </si>
  <si>
    <t>16 de 24</t>
  </si>
  <si>
    <t>17 de 24</t>
  </si>
  <si>
    <t>18 de 24</t>
  </si>
  <si>
    <t>19 de 24</t>
  </si>
  <si>
    <t>20 de 24</t>
  </si>
  <si>
    <t>21 de 24</t>
  </si>
  <si>
    <t>22 de 24</t>
  </si>
  <si>
    <t>23 de 24</t>
  </si>
  <si>
    <t>24 de 24</t>
  </si>
  <si>
    <t>TOTAL</t>
  </si>
  <si>
    <t>CARTERA DE CLIENTES</t>
  </si>
  <si>
    <t>Nombre</t>
  </si>
  <si>
    <t>Etapa</t>
  </si>
  <si>
    <t>Próximo contacto</t>
  </si>
  <si>
    <t>Presupuesto</t>
  </si>
  <si>
    <t>Notas</t>
  </si>
  <si>
    <t>Rosa Elena Huamán</t>
  </si>
  <si>
    <t>944555666</t>
  </si>
  <si>
    <t>Nuevo</t>
  </si>
  <si>
    <t>Quiere lote esquina, visita el sábado con su esposo. Pregunta por luz y agua.</t>
  </si>
  <si>
    <t>944111222</t>
  </si>
  <si>
    <t>Contactado</t>
  </si>
  <si>
    <t>Proforma PF-2026-CR-0004 (dom, 25 oct.): La Planicie de Asia Mz C · Lote 2, S/ 29,000 al contado</t>
  </si>
  <si>
    <t>955222333</t>
  </si>
  <si>
    <t>Proforma PF-2026-CR-0003 (dom, 25 oct.): La Planicie de Asia Mz B · Lote 7, S/ 29,000, inicial S/ 5,800 + 24 cuotas de S/ 967</t>
  </si>
  <si>
    <t>987000111</t>
  </si>
  <si>
    <t>Proforma PF-2026-CR-0002 (dom, 25 oct.): La Planicie de Asia Mz B · Lote 4, S/ 29,000, inicial S/ 5,800 + 24 cuotas de S/ 967</t>
  </si>
  <si>
    <t>Vendido</t>
  </si>
  <si>
    <t xml:space="preserve">Proforma PF-2026-CR-0001 (dom, 25 oct.): La Planicie de Asia Mz B · Lote 3, S/ 29,000, inicial S/ 5,800 + 24 cuotas de S/ 967
Separación SEP-2026-CR-0001: S/ 1,500 (Transferencia bancaria). Firmar hasta 01/11/2026.</t>
  </si>
  <si>
    <t>RANKING POR ASESOR (HISTÓRICO)</t>
  </si>
  <si>
    <t>Proformas</t>
  </si>
  <si>
    <t>Separaciones</t>
  </si>
  <si>
    <t>Ventas</t>
  </si>
  <si>
    <t>Cobrado</t>
  </si>
  <si>
    <t>Conversión</t>
  </si>
  <si>
    <t>TOTAL EQUIPO</t>
  </si>
  <si>
    <t>INVENTARIO DE LOTES</t>
  </si>
  <si>
    <t>Manzana</t>
  </si>
  <si>
    <t>Lote</t>
  </si>
  <si>
    <t>Área m²</t>
  </si>
  <si>
    <t>Precio</t>
  </si>
  <si>
    <t>Ubicación</t>
  </si>
  <si>
    <t>B</t>
  </si>
  <si>
    <t>1</t>
  </si>
  <si>
    <t>Interior</t>
  </si>
  <si>
    <t>Disponible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</si>
  <si>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</si>
  <si>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</si>
  <si>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</si>
  <si>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</si>
  <si>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</si>
  <si>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</si>
  <si>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</si>
  <si>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</si>
  <si>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</si>
  <si>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</si>
  <si>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</si>
  <si>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</si>
  <si>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</si>
  <si>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C</t>
  </si>
  <si>
    <t>Esquina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</si>
</sst>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"/>
    <numFmt numFmtId="165" formatCode="dd/mm/yyyy"/>
  </numFmts>
  <fonts count="9" x14ac:knownFonts="1">
    <font>
      <color theme="1"/>
      <family val="2"/>
      <scheme val="minor"/>
      <sz val="11"/>
      <name val="Calibri"/>
    </font>
    <font>
      <b/>
      <color rgb="FF0A3856"/>
      <sz val="18"/>
      <name val="Calibri"/>
    </font>
    <font>
      <color rgb="FF6B7A86"/>
      <sz val="10"/>
      <name val="Calibri"/>
    </font>
    <font>
      <b/>
      <color rgb="FF6B7A86"/>
      <sz val="9"/>
      <name val="Calibri"/>
    </font>
    <font>
      <b/>
      <color rgb="FF0A3856"/>
      <sz val="15"/>
      <name val="Calibri"/>
    </font>
    <font>
      <b/>
      <color rgb="FFFFFFFF"/>
      <sz val="10"/>
      <name val="Calibri"/>
    </font>
    <font>
      <b/>
      <color rgb="FF2A85C5"/>
      <sz val="10"/>
      <name val="Calibri"/>
    </font>
    <font>
      <color rgb="FF3C3C3A"/>
      <sz val="10"/>
      <name val="Calibri"/>
    </font>
    <font>
      <b/>
      <color rgb="FF0A3856"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A3856"/>
      </patternFill>
    </fill>
    <fill>
      <patternFill patternType="solid">
        <fgColor rgb="FF2A85C5"/>
      </patternFill>
    </fill>
    <fill>
      <patternFill patternType="solid">
        <fgColor rgb="FFF3F7FA"/>
      </patternFill>
    </fill>
    <fill>
      <patternFill patternType="solid">
        <fgColor rgb="FFE3EEF8"/>
      </patternFill>
    </fill>
    <fill>
      <patternFill patternType="solid">
        <fgColor rgb="FFFBE3DF"/>
      </patternFill>
    </fill>
    <fill>
      <patternFill patternType="solid">
        <fgColor rgb="FFE6F4EA"/>
      </patternFill>
    </fill>
    <fill>
      <patternFill patternType="solid">
        <fgColor rgb="FFE6ECEC"/>
      </patternFill>
    </fill>
  </fills>
  <borders count="5">
    <border>
      <left/>
      <right/>
      <top/>
      <bottom/>
      <diagonal/>
    </border>
    <border>
      <left style="thick">
        <color rgb="FF2A85C5"/>
      </left>
      <right/>
      <top style="thin">
        <color rgb="FFDCE5EC"/>
      </top>
      <bottom/>
      <diagonal/>
    </border>
    <border>
      <left style="thick">
        <color rgb="FF2A85C5"/>
      </left>
      <right/>
      <top/>
      <bottom style="thin">
        <color rgb="FFDCE5EC"/>
      </bottom>
      <diagonal/>
    </border>
    <border>
      <left style="thin">
        <color rgb="FFDCE5EC"/>
      </left>
      <right style="thin">
        <color rgb="FFDCE5EC"/>
      </right>
      <top style="thin">
        <color rgb="FFDCE5EC"/>
      </top>
      <bottom style="thin">
        <color rgb="FFDCE5EC"/>
      </bottom>
      <diagonal/>
    </border>
    <border>
      <left/>
      <right/>
      <top style="medium">
        <color rgb="FF0A3856"/>
      </top>
      <bottom style="thin">
        <color rgb="FF0A3856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0" fillId="2" borderId="0" xfId="0" applyFill="1"/>
    <xf numFmtId="0" fontId="0" fillId="3" borderId="0" xfId="0" applyFill="1"/>
    <xf numFmtId="0" fontId="3" fillId="4" borderId="1" xfId="0" applyFont="1" applyFill="1" applyBorder="1" applyAlignment="1">
      <alignment horizontal="left" vertical="bottom" indent="1"/>
    </xf>
    <xf numFmtId="164" fontId="4" fillId="4" borderId="2" xfId="0" applyNumberFormat="1" applyFont="1" applyFill="1" applyBorder="1" applyAlignment="1">
      <alignment horizontal="left" vertical="center" indent="1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3" xfId="0" applyFont="1" applyFill="1" applyBorder="1" applyAlignment="1">
      <alignment horizontal="right" vertical="center" wrapText="1" indent="1"/>
    </xf>
    <xf numFmtId="0" fontId="6" fillId="5" borderId="3" xfId="0" applyFont="1" applyFill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3" fontId="7" fillId="0" borderId="3" xfId="0" applyNumberFormat="1" applyFont="1" applyBorder="1" applyAlignment="1">
      <alignment horizontal="right" vertical="center" indent="1"/>
    </xf>
    <xf numFmtId="164" fontId="7" fillId="0" borderId="3" xfId="0" applyNumberFormat="1" applyFont="1" applyBorder="1" applyAlignment="1">
      <alignment horizontal="right" vertical="center" indent="1"/>
    </xf>
    <xf numFmtId="0" fontId="7" fillId="4" borderId="3" xfId="0" applyFont="1" applyFill="1" applyBorder="1" applyAlignment="1">
      <alignment horizontal="left" vertical="center" indent="1"/>
    </xf>
    <xf numFmtId="3" fontId="7" fillId="4" borderId="3" xfId="0" applyNumberFormat="1" applyFont="1" applyFill="1" applyBorder="1" applyAlignment="1">
      <alignment horizontal="right" vertical="center" indent="1"/>
    </xf>
    <xf numFmtId="164" fontId="7" fillId="4" borderId="3" xfId="0" applyNumberFormat="1" applyFont="1" applyFill="1" applyBorder="1" applyAlignment="1">
      <alignment horizontal="right" vertical="center" indent="1"/>
    </xf>
    <xf numFmtId="0" fontId="7" fillId="6" borderId="3" xfId="0" applyFont="1" applyFill="1" applyBorder="1" applyAlignment="1">
      <alignment horizontal="left" vertical="center" indent="1"/>
    </xf>
    <xf numFmtId="3" fontId="7" fillId="6" borderId="3" xfId="0" applyNumberFormat="1" applyFont="1" applyFill="1" applyBorder="1" applyAlignment="1">
      <alignment horizontal="right" vertical="center" indent="1"/>
    </xf>
    <xf numFmtId="164" fontId="7" fillId="6" borderId="3" xfId="0" applyNumberFormat="1" applyFont="1" applyFill="1" applyBorder="1" applyAlignment="1">
      <alignment horizontal="right" vertical="center" indent="1"/>
    </xf>
    <xf numFmtId="165" fontId="7" fillId="0" borderId="3" xfId="0" applyNumberFormat="1" applyFont="1" applyBorder="1" applyAlignment="1">
      <alignment horizontal="right" vertical="center" indent="1"/>
    </xf>
    <xf numFmtId="165" fontId="7" fillId="4" borderId="3" xfId="0" applyNumberFormat="1" applyFont="1" applyFill="1" applyBorder="1" applyAlignment="1">
      <alignment horizontal="right" vertical="center" indent="1"/>
    </xf>
    <xf numFmtId="0" fontId="8" fillId="5" borderId="4" xfId="0" applyFont="1" applyFill="1" applyBorder="1" applyAlignment="1">
      <alignment horizontal="left" vertical="center" indent="1"/>
    </xf>
    <xf numFmtId="164" fontId="8" fillId="5" borderId="4" xfId="0" applyNumberFormat="1" applyFont="1" applyFill="1" applyBorder="1" applyAlignment="1">
      <alignment horizontal="right" vertical="center" indent="1"/>
    </xf>
    <xf numFmtId="0" fontId="5" fillId="2" borderId="3" xfId="0" applyFont="1" applyFill="1" applyBorder="1" applyAlignment="1">
      <alignment horizontal="center" vertical="center" wrapText="1"/>
    </xf>
    <xf numFmtId="165" fontId="7" fillId="7" borderId="3" xfId="0" applyNumberFormat="1" applyFont="1" applyFill="1" applyBorder="1" applyAlignment="1">
      <alignment horizontal="right" vertical="center" indent="1"/>
    </xf>
    <xf numFmtId="0" fontId="7" fillId="7" borderId="3" xfId="0" applyFont="1" applyFill="1" applyBorder="1" applyAlignment="1">
      <alignment horizontal="left" vertical="center" indent="1"/>
    </xf>
    <xf numFmtId="0" fontId="7" fillId="7" borderId="3" xfId="0" applyFont="1" applyFill="1" applyBorder="1" applyAlignment="1">
      <alignment horizontal="center" vertical="center"/>
    </xf>
    <xf numFmtId="164" fontId="7" fillId="7" borderId="3" xfId="0" applyNumberFormat="1" applyFont="1" applyFill="1" applyBorder="1" applyAlignment="1">
      <alignment horizontal="right" vertical="center" indent="1"/>
    </xf>
    <xf numFmtId="165" fontId="7" fillId="7" borderId="3" xfId="0" applyNumberFormat="1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165" fontId="7" fillId="4" borderId="3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5" fontId="7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 indent="1"/>
    </xf>
    <xf numFmtId="0" fontId="7" fillId="4" borderId="3" xfId="0" applyFont="1" applyFill="1" applyBorder="1" applyAlignment="1">
      <alignment horizontal="left" vertical="center" wrapText="1" indent="1"/>
    </xf>
    <xf numFmtId="1" fontId="7" fillId="0" borderId="3" xfId="0" applyNumberFormat="1" applyFont="1" applyBorder="1" applyAlignment="1">
      <alignment horizontal="right" vertical="center" indent="1"/>
    </xf>
    <xf numFmtId="9" fontId="7" fillId="0" borderId="3" xfId="0" applyNumberFormat="1" applyFont="1" applyBorder="1" applyAlignment="1">
      <alignment horizontal="right" vertical="center" indent="1"/>
    </xf>
    <xf numFmtId="1" fontId="8" fillId="5" borderId="4" xfId="0" applyNumberFormat="1" applyFont="1" applyFill="1" applyBorder="1" applyAlignment="1">
      <alignment horizontal="right" vertical="center" indent="1"/>
    </xf>
    <xf numFmtId="0" fontId="7" fillId="8" borderId="3" xfId="0" applyFont="1" applyFill="1" applyBorder="1" applyAlignment="1">
      <alignment horizontal="left" vertical="center" indent="1"/>
    </xf>
    <xf numFmtId="3" fontId="7" fillId="8" borderId="3" xfId="0" applyNumberFormat="1" applyFont="1" applyFill="1" applyBorder="1" applyAlignment="1">
      <alignment horizontal="right" vertical="center" indent="1"/>
    </xf>
    <xf numFmtId="164" fontId="7" fillId="8" borderId="3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96000</xdr:colOff>
      <xdr:row>1</xdr:row>
      <xdr:rowOff>0</xdr:rowOff>
    </xdr:from>
    <xdr:ext cx="1809750" cy="3714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3856"/>
    <pageSetUpPr fitToPage="1"/>
  </sheetPr>
  <dimension ref="A1:D32"/>
  <sheetViews>
    <sheetView workbookViewId="0" showGridLines="0"/>
  </sheetViews>
  <sheetFormatPr defaultRowHeight="18" outlineLevelRow="0" outlineLevelCol="0" x14ac:dyDescent="55" customHeight="1"/>
  <cols>
    <col min="1" max="1" width="42" customWidth="1"/>
    <col min="2" max="2" width="12" customWidth="1"/>
    <col min="3" max="3" width="18" customWidth="1"/>
    <col min="4" max="4" width="30" customWidth="1"/>
  </cols>
  <sheetData>
    <row r="1" ht="14" customHeight="1" x14ac:dyDescent="0.25"/>
    <row r="2" ht="30" customHeight="1" spans="3:4" x14ac:dyDescent="0.25">
      <c r="C2" s="1" t="s">
        <v>0</v>
      </c>
      <c r="D2"/>
    </row>
    <row r="3" ht="18" customHeight="1" spans="3:4" x14ac:dyDescent="0.25">
      <c r="C3" s="2" t="s">
        <v>1</v>
      </c>
      <c r="D3"/>
    </row>
    <row r="5" ht="5" customHeight="1" spans="1:4" x14ac:dyDescent="0.25">
      <c r="A5" s="3"/>
      <c r="B5" s="3"/>
      <c r="C5" s="4"/>
      <c r="D5" s="4"/>
    </row>
    <row r="7" ht="18" customHeight="1" spans="1:4" x14ac:dyDescent="0.25">
      <c r="A7" s="5" t="s">
        <v>2</v>
      </c>
      <c r="B7" s="5" t="s">
        <v>3</v>
      </c>
      <c r="C7"/>
      <c r="D7" s="5" t="s">
        <v>4</v>
      </c>
    </row>
    <row r="8" ht="28" customHeight="1" spans="1:4" x14ac:dyDescent="0.25">
      <c r="A8" s="6">
        <v>144000</v>
      </c>
      <c r="B8" s="6">
        <v>4300</v>
      </c>
      <c r="C8"/>
      <c r="D8" s="6">
        <v>0</v>
      </c>
    </row>
    <row r="10" ht="24" customHeight="1" spans="1:4" x14ac:dyDescent="0.25">
      <c r="A10" s="7" t="s">
        <v>5</v>
      </c>
      <c r="B10" s="8" t="s">
        <v>6</v>
      </c>
      <c r="C10" s="8" t="s">
        <v>7</v>
      </c>
      <c r="D10" s="7" t="s">
        <v>8</v>
      </c>
    </row>
    <row r="11" ht="22" customHeight="1" spans="1:4" x14ac:dyDescent="0.25">
      <c r="A11" s="9" t="s">
        <v>9</v>
      </c>
      <c r="B11"/>
      <c r="C11"/>
      <c r="D11"/>
    </row>
    <row r="12" ht="20" customHeight="1" spans="1:4" x14ac:dyDescent="0.25">
      <c r="A12" s="10" t="s">
        <v>10</v>
      </c>
      <c r="B12" s="11">
        <v>5</v>
      </c>
      <c r="C12" s="12">
        <v>144000</v>
      </c>
      <c r="D12" s="10" t="s">
        <v>11</v>
      </c>
    </row>
    <row r="13" ht="20" customHeight="1" spans="1:4" x14ac:dyDescent="0.25">
      <c r="A13" s="13" t="s">
        <v>12</v>
      </c>
      <c r="B13" s="14">
        <v>5</v>
      </c>
      <c r="C13" s="15">
        <v>144000</v>
      </c>
      <c r="D13" s="13" t="s">
        <v>13</v>
      </c>
    </row>
    <row r="14" ht="20" customHeight="1" spans="1:4" x14ac:dyDescent="0.25">
      <c r="A14" s="10" t="s">
        <v>14</v>
      </c>
      <c r="B14" s="11">
        <v>1</v>
      </c>
      <c r="C14" s="12">
        <v>1500</v>
      </c>
      <c r="D14" s="10" t="s">
        <v>15</v>
      </c>
    </row>
    <row r="15" ht="20" customHeight="1" spans="1:4" x14ac:dyDescent="0.25">
      <c r="A15" s="13" t="s">
        <v>16</v>
      </c>
      <c r="B15" s="14">
        <v>1</v>
      </c>
      <c r="C15" s="15">
        <v>27500</v>
      </c>
      <c r="D15" s="13" t="s">
        <v>17</v>
      </c>
    </row>
    <row r="16" ht="22" customHeight="1" spans="1:4" x14ac:dyDescent="0.25">
      <c r="A16" s="9" t="s">
        <v>18</v>
      </c>
      <c r="B16"/>
      <c r="C16"/>
      <c r="D16"/>
    </row>
    <row r="17" ht="20" customHeight="1" spans="1:4" x14ac:dyDescent="0.25">
      <c r="A17" s="10" t="s">
        <v>19</v>
      </c>
      <c r="B17" s="11">
        <v>0</v>
      </c>
      <c r="C17" s="12">
        <v>0</v>
      </c>
      <c r="D17" s="10" t="s">
        <v>20</v>
      </c>
    </row>
    <row r="18" ht="20" customHeight="1" spans="1:4" x14ac:dyDescent="0.25">
      <c r="A18" s="13" t="s">
        <v>21</v>
      </c>
      <c r="B18" s="14">
        <v>1</v>
      </c>
      <c r="C18" s="15">
        <v>967</v>
      </c>
      <c r="D18" s="13" t="s">
        <v>13</v>
      </c>
    </row>
    <row r="19" ht="20" customHeight="1" spans="1:4" x14ac:dyDescent="0.25">
      <c r="A19" s="10" t="s">
        <v>22</v>
      </c>
      <c r="B19" s="11">
        <v>1</v>
      </c>
      <c r="C19" s="12">
        <v>4300</v>
      </c>
      <c r="D19" s="10" t="s">
        <v>13</v>
      </c>
    </row>
    <row r="20" ht="22" customHeight="1" spans="1:4" x14ac:dyDescent="0.25">
      <c r="A20" s="9" t="s">
        <v>23</v>
      </c>
      <c r="B20"/>
      <c r="C20"/>
      <c r="D20"/>
    </row>
    <row r="21" ht="20" customHeight="1" spans="1:4" x14ac:dyDescent="0.25">
      <c r="A21" s="10" t="s">
        <v>24</v>
      </c>
      <c r="B21" s="11">
        <v>1</v>
      </c>
      <c r="C21" s="12">
        <v>0</v>
      </c>
      <c r="D21" s="10" t="s">
        <v>25</v>
      </c>
    </row>
    <row r="22" ht="20" customHeight="1" spans="1:4" x14ac:dyDescent="0.25">
      <c r="A22" s="13" t="s">
        <v>26</v>
      </c>
      <c r="B22" s="14">
        <v>3</v>
      </c>
      <c r="C22" s="15">
        <v>87000</v>
      </c>
      <c r="D22" s="13" t="s">
        <v>25</v>
      </c>
    </row>
    <row r="23" ht="20" customHeight="1" spans="1:4" x14ac:dyDescent="0.25">
      <c r="A23" s="10" t="s">
        <v>27</v>
      </c>
      <c r="B23" s="11">
        <v>0</v>
      </c>
      <c r="C23" s="12">
        <v>0</v>
      </c>
      <c r="D23" s="10" t="s">
        <v>25</v>
      </c>
    </row>
    <row r="24" ht="20" customHeight="1" spans="1:4" x14ac:dyDescent="0.25">
      <c r="A24" s="13" t="s">
        <v>28</v>
      </c>
      <c r="B24" s="14">
        <v>0</v>
      </c>
      <c r="C24" s="15">
        <v>0</v>
      </c>
      <c r="D24" s="13" t="s">
        <v>25</v>
      </c>
    </row>
    <row r="25" ht="20" customHeight="1" spans="1:4" x14ac:dyDescent="0.25">
      <c r="A25" s="10" t="s">
        <v>29</v>
      </c>
      <c r="B25" s="11">
        <v>1</v>
      </c>
      <c r="C25" s="12">
        <v>29000</v>
      </c>
      <c r="D25" s="10" t="s">
        <v>25</v>
      </c>
    </row>
    <row r="26" ht="20" customHeight="1" spans="1:4" x14ac:dyDescent="0.25">
      <c r="A26" s="13" t="s">
        <v>30</v>
      </c>
      <c r="B26" s="14">
        <v>0</v>
      </c>
      <c r="C26" s="15">
        <v>0</v>
      </c>
      <c r="D26" s="13" t="s">
        <v>25</v>
      </c>
    </row>
    <row r="27" ht="20" customHeight="1" spans="1:4" x14ac:dyDescent="0.25">
      <c r="A27" s="16" t="s">
        <v>31</v>
      </c>
      <c r="B27" s="17">
        <v>1</v>
      </c>
      <c r="C27" s="18"/>
      <c r="D27" s="16" t="s">
        <v>32</v>
      </c>
    </row>
    <row r="28" ht="22" customHeight="1" spans="1:4" x14ac:dyDescent="0.25">
      <c r="A28" s="9" t="s">
        <v>33</v>
      </c>
      <c r="B28"/>
      <c r="C28"/>
      <c r="D28"/>
    </row>
    <row r="29" ht="20" customHeight="1" spans="1:4" x14ac:dyDescent="0.25">
      <c r="A29" s="10" t="s">
        <v>34</v>
      </c>
      <c r="B29" s="11">
        <v>21</v>
      </c>
      <c r="C29" s="12">
        <v>609000</v>
      </c>
      <c r="D29" s="10" t="s">
        <v>35</v>
      </c>
    </row>
    <row r="30" ht="20" customHeight="1" spans="1:4" x14ac:dyDescent="0.25">
      <c r="A30" s="13" t="s">
        <v>36</v>
      </c>
      <c r="B30" s="14">
        <v>0</v>
      </c>
      <c r="C30" s="15">
        <v>0</v>
      </c>
      <c r="D30" s="13" t="s">
        <v>37</v>
      </c>
    </row>
    <row r="31" ht="20" customHeight="1" spans="1:4" x14ac:dyDescent="0.25">
      <c r="A31" s="10" t="s">
        <v>38</v>
      </c>
      <c r="B31" s="11">
        <v>0</v>
      </c>
      <c r="C31" s="12">
        <v>0</v>
      </c>
      <c r="D31" s="10" t="s">
        <v>37</v>
      </c>
    </row>
    <row r="32" ht="20" customHeight="1" spans="1:4" x14ac:dyDescent="0.25">
      <c r="A32" s="13" t="s">
        <v>39</v>
      </c>
      <c r="B32" s="14">
        <v>0</v>
      </c>
      <c r="C32" s="15">
        <v>0</v>
      </c>
      <c r="D32" s="13" t="s">
        <v>37</v>
      </c>
    </row>
  </sheetData>
  <mergeCells count="8">
    <mergeCell ref="C2:D2"/>
    <mergeCell ref="C3:D3"/>
    <mergeCell ref="B7:C7"/>
    <mergeCell ref="B8:C8"/>
    <mergeCell ref="A11:D11"/>
    <mergeCell ref="A16:D16"/>
    <mergeCell ref="A20:D20"/>
    <mergeCell ref="A28:D28"/>
  </mergeCells>
  <pageMargins left="0.4" right="0.4" top="0.5" bottom="0.6" header="0.2" footer="0.3"/>
  <pageSetup paperSize="9" orientation="portrait" fitToWidth="1" fitToHeight="0"/>
  <headerFooter>
    <oddHeader>&amp;R&amp;8&amp;K6B7A86REPORTE GERENCIAL COMERCIAL</oddHeader>
    <oddFooter>&amp;L&amp;8Inmobiliaria &amp;&amp; Constructora Vivaldi S.A.C. · RUC 20604145458&amp;R&amp;8Página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H13"/>
  <sheetViews>
    <sheetView workbookViewId="0" showGridLines="0" zoomScale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4" width="26" customWidth="1"/>
    <col min="5" max="5" width="12" customWidth="1"/>
    <col min="6" max="6" width="15" customWidth="1"/>
    <col min="7" max="7" width="22" customWidth="1"/>
    <col min="8" max="8" width="20" customWidth="1"/>
  </cols>
  <sheetData>
    <row r="1" ht="14" customHeight="1" x14ac:dyDescent="0.25"/>
    <row r="2" ht="30" customHeight="1" spans="3:8" x14ac:dyDescent="0.25">
      <c r="C2" s="1" t="s">
        <v>40</v>
      </c>
      <c r="D2"/>
      <c r="E2"/>
      <c r="F2"/>
      <c r="G2"/>
      <c r="H2"/>
    </row>
    <row r="3" ht="18" customHeight="1" spans="3:8" x14ac:dyDescent="0.25">
      <c r="C3" s="2" t="s">
        <v>1</v>
      </c>
      <c r="D3"/>
      <c r="E3"/>
      <c r="F3"/>
      <c r="G3"/>
      <c r="H3"/>
    </row>
    <row r="5" ht="5" customHeight="1" spans="1:8" x14ac:dyDescent="0.25">
      <c r="A5" s="3"/>
      <c r="B5" s="3"/>
      <c r="C5" s="3"/>
      <c r="D5" s="3"/>
      <c r="E5" s="4"/>
      <c r="F5" s="4"/>
      <c r="G5" s="4"/>
      <c r="H5" s="4"/>
    </row>
    <row r="7" ht="24" customHeight="1" spans="1:8" x14ac:dyDescent="0.25">
      <c r="A7" s="7" t="s">
        <v>41</v>
      </c>
      <c r="B7" s="8" t="s">
        <v>42</v>
      </c>
      <c r="C7" s="7" t="s">
        <v>43</v>
      </c>
      <c r="D7" s="7" t="s">
        <v>44</v>
      </c>
      <c r="E7" s="7" t="s">
        <v>45</v>
      </c>
      <c r="F7" s="8" t="s">
        <v>46</v>
      </c>
      <c r="G7" s="7" t="s">
        <v>47</v>
      </c>
      <c r="H7" s="7" t="s">
        <v>48</v>
      </c>
    </row>
    <row r="8" ht="20" customHeight="1" spans="1:8" x14ac:dyDescent="0.25">
      <c r="A8" s="10" t="s">
        <v>49</v>
      </c>
      <c r="B8" s="19">
        <v>46320.5</v>
      </c>
      <c r="C8" s="10" t="s">
        <v>50</v>
      </c>
      <c r="D8" s="10" t="s">
        <v>51</v>
      </c>
      <c r="E8" s="10" t="s">
        <v>52</v>
      </c>
      <c r="F8" s="12">
        <v>28000</v>
      </c>
      <c r="G8" s="10" t="s">
        <v>53</v>
      </c>
      <c r="H8" s="10" t="s">
        <v>54</v>
      </c>
    </row>
    <row r="9" ht="20" customHeight="1" spans="1:8" x14ac:dyDescent="0.25">
      <c r="A9" s="13" t="s">
        <v>55</v>
      </c>
      <c r="B9" s="20">
        <v>46320.5</v>
      </c>
      <c r="C9" s="13" t="s">
        <v>56</v>
      </c>
      <c r="D9" s="13" t="s">
        <v>51</v>
      </c>
      <c r="E9" s="13" t="s">
        <v>57</v>
      </c>
      <c r="F9" s="15">
        <v>29000</v>
      </c>
      <c r="G9" s="13" t="s">
        <v>58</v>
      </c>
      <c r="H9" s="13" t="s">
        <v>54</v>
      </c>
    </row>
    <row r="10" ht="20" customHeight="1" spans="1:8" x14ac:dyDescent="0.25">
      <c r="A10" s="10" t="s">
        <v>59</v>
      </c>
      <c r="B10" s="19">
        <v>46320.5</v>
      </c>
      <c r="C10" s="10" t="s">
        <v>60</v>
      </c>
      <c r="D10" s="10" t="s">
        <v>51</v>
      </c>
      <c r="E10" s="10" t="s">
        <v>61</v>
      </c>
      <c r="F10" s="12">
        <v>29000</v>
      </c>
      <c r="G10" s="10" t="s">
        <v>62</v>
      </c>
      <c r="H10" s="10" t="s">
        <v>54</v>
      </c>
    </row>
    <row r="11" ht="20" customHeight="1" spans="1:8" x14ac:dyDescent="0.25">
      <c r="A11" s="13" t="s">
        <v>63</v>
      </c>
      <c r="B11" s="20">
        <v>46320.5</v>
      </c>
      <c r="C11" s="13" t="s">
        <v>64</v>
      </c>
      <c r="D11" s="13" t="s">
        <v>51</v>
      </c>
      <c r="E11" s="13" t="s">
        <v>65</v>
      </c>
      <c r="F11" s="15">
        <v>29000</v>
      </c>
      <c r="G11" s="13" t="s">
        <v>62</v>
      </c>
      <c r="H11" s="13" t="s">
        <v>54</v>
      </c>
    </row>
    <row r="12" ht="20" customHeight="1" spans="1:8" x14ac:dyDescent="0.25">
      <c r="A12" s="10" t="s">
        <v>66</v>
      </c>
      <c r="B12" s="19">
        <v>46320.5</v>
      </c>
      <c r="C12" s="10" t="s">
        <v>50</v>
      </c>
      <c r="D12" s="10" t="s">
        <v>51</v>
      </c>
      <c r="E12" s="10" t="s">
        <v>52</v>
      </c>
      <c r="F12" s="12">
        <v>29000</v>
      </c>
      <c r="G12" s="10" t="s">
        <v>62</v>
      </c>
      <c r="H12" s="10" t="s">
        <v>54</v>
      </c>
    </row>
    <row r="13" ht="24" customHeight="1" spans="1:8" x14ac:dyDescent="0.25">
      <c r="A13" s="21" t="s">
        <v>67</v>
      </c>
      <c r="B13" s="21"/>
      <c r="C13" s="21"/>
      <c r="D13" s="21"/>
      <c r="E13" s="21"/>
      <c r="F13" s="22">
        <f>SUBTOTAL(9,F8:F12)</f>
      </c>
      <c r="G13" s="21"/>
      <c r="H13" s="21"/>
    </row>
  </sheetData>
  <autoFilter ref="A7:H12"/>
  <mergeCells count="2">
    <mergeCell ref="C2:H2"/>
    <mergeCell ref="C3:H3"/>
  </mergeCells>
  <pageMargins left="0.4" right="0.4" top="0.5" bottom="0.6" header="0.2" footer="0.3"/>
  <pageSetup paperSize="9" orientation="landscape" fitToWidth="1" fitToHeight="0"/>
  <headerFooter>
    <oddHeader>&amp;R&amp;8&amp;K6B7A86PROFORMAS EMITIDAS</oddHeader>
    <oddFooter>&amp;L&amp;8Inmobiliaria &amp;&amp; Constructora Vivaldi S.A.C. · RUC 20604145458&amp;R&amp;8Página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H9"/>
  <sheetViews>
    <sheetView workbookViewId="0" showGridLines="0" zoomScale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3" width="26" customWidth="1"/>
    <col min="4" max="4" width="16" customWidth="1"/>
    <col min="5" max="5" width="13" customWidth="1"/>
    <col min="6" max="6" width="20" customWidth="1"/>
    <col min="7" max="7" width="14" customWidth="1"/>
    <col min="8" max="8" width="13" customWidth="1"/>
  </cols>
  <sheetData>
    <row r="1" ht="14" customHeight="1" x14ac:dyDescent="0.25"/>
    <row r="2" ht="30" customHeight="1" spans="3:8" x14ac:dyDescent="0.25">
      <c r="C2" s="1" t="s">
        <v>68</v>
      </c>
      <c r="D2"/>
      <c r="E2"/>
      <c r="F2"/>
      <c r="G2"/>
      <c r="H2"/>
    </row>
    <row r="3" ht="18" customHeight="1" spans="3:8" x14ac:dyDescent="0.25">
      <c r="C3" s="2" t="s">
        <v>1</v>
      </c>
      <c r="D3"/>
      <c r="E3"/>
      <c r="F3"/>
      <c r="G3"/>
      <c r="H3"/>
    </row>
    <row r="5" ht="5" customHeight="1" spans="1:8" x14ac:dyDescent="0.25">
      <c r="A5" s="3"/>
      <c r="B5" s="3"/>
      <c r="C5" s="3"/>
      <c r="D5" s="3"/>
      <c r="E5" s="4"/>
      <c r="F5" s="4"/>
      <c r="G5" s="4"/>
      <c r="H5" s="4"/>
    </row>
    <row r="7" ht="24" customHeight="1" spans="1:8" x14ac:dyDescent="0.25">
      <c r="A7" s="7" t="s">
        <v>41</v>
      </c>
      <c r="B7" s="8" t="s">
        <v>42</v>
      </c>
      <c r="C7" s="7" t="s">
        <v>43</v>
      </c>
      <c r="D7" s="7" t="s">
        <v>69</v>
      </c>
      <c r="E7" s="8" t="s">
        <v>7</v>
      </c>
      <c r="F7" s="7" t="s">
        <v>70</v>
      </c>
      <c r="G7" s="7" t="s">
        <v>71</v>
      </c>
      <c r="H7" s="8" t="s">
        <v>72</v>
      </c>
    </row>
    <row r="8" ht="20" customHeight="1" spans="1:8" x14ac:dyDescent="0.25">
      <c r="A8" s="10" t="s">
        <v>73</v>
      </c>
      <c r="B8" s="19">
        <v>46320.5</v>
      </c>
      <c r="C8" s="10" t="s">
        <v>50</v>
      </c>
      <c r="D8" s="10" t="s">
        <v>66</v>
      </c>
      <c r="E8" s="12">
        <v>1500</v>
      </c>
      <c r="F8" s="10" t="s">
        <v>74</v>
      </c>
      <c r="G8" s="10" t="s">
        <v>75</v>
      </c>
      <c r="H8" s="19">
        <v>46327.5</v>
      </c>
    </row>
    <row r="9" ht="24" customHeight="1" spans="1:8" x14ac:dyDescent="0.25">
      <c r="A9" s="21" t="s">
        <v>76</v>
      </c>
      <c r="B9" s="21"/>
      <c r="C9" s="21"/>
      <c r="D9" s="21"/>
      <c r="E9" s="22">
        <f>SUBTOTAL(9,E8:E8)</f>
      </c>
      <c r="F9" s="21"/>
      <c r="G9" s="21"/>
      <c r="H9" s="21"/>
    </row>
  </sheetData>
  <autoFilter ref="A7:H8"/>
  <mergeCells count="2">
    <mergeCell ref="C2:H2"/>
    <mergeCell ref="C3:H3"/>
  </mergeCells>
  <pageMargins left="0.4" right="0.4" top="0.5" bottom="0.6" header="0.2" footer="0.3"/>
  <pageSetup paperSize="9" orientation="landscape" fitToWidth="1" fitToHeight="0"/>
  <headerFooter>
    <oddHeader>&amp;R&amp;8&amp;K6B7A86CONSTANCIAS DE SEPARACIÓN</oddHeader>
    <oddFooter>&amp;L&amp;8Inmobiliaria &amp;&amp; Constructora Vivaldi S.A.C. · RUC 20604145458&amp;R&amp;8Página &amp;P de 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H33"/>
  <sheetViews>
    <sheetView workbookViewId="0" showGridLines="0" zoomScale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26" customWidth="1"/>
    <col min="3" max="3" width="12" customWidth="1"/>
    <col min="4" max="4" width="26" customWidth="1"/>
    <col min="5" max="5" width="11" customWidth="1"/>
    <col min="6" max="6" width="13" customWidth="1"/>
    <col min="7" max="7" width="14" customWidth="1"/>
    <col min="8" max="8" width="12" customWidth="1"/>
  </cols>
  <sheetData>
    <row r="1" ht="14" customHeight="1" x14ac:dyDescent="0.25"/>
    <row r="2" ht="30" customHeight="1" spans="3:8" x14ac:dyDescent="0.25">
      <c r="C2" s="1" t="s">
        <v>77</v>
      </c>
      <c r="D2"/>
      <c r="E2"/>
      <c r="F2"/>
      <c r="G2"/>
      <c r="H2"/>
    </row>
    <row r="3" ht="18" customHeight="1" spans="3:8" x14ac:dyDescent="0.25">
      <c r="C3" s="2" t="s">
        <v>1</v>
      </c>
      <c r="D3"/>
      <c r="E3"/>
      <c r="F3"/>
      <c r="G3"/>
      <c r="H3"/>
    </row>
    <row r="5" ht="5" customHeight="1" spans="1:8" x14ac:dyDescent="0.25">
      <c r="A5" s="3"/>
      <c r="B5" s="3"/>
      <c r="C5" s="3"/>
      <c r="D5" s="3"/>
      <c r="E5" s="4"/>
      <c r="F5" s="4"/>
      <c r="G5" s="4"/>
      <c r="H5" s="4"/>
    </row>
    <row r="7" ht="24" customHeight="1" spans="1:8" x14ac:dyDescent="0.25">
      <c r="A7" s="8" t="s">
        <v>78</v>
      </c>
      <c r="B7" s="7" t="s">
        <v>43</v>
      </c>
      <c r="C7" s="7" t="s">
        <v>79</v>
      </c>
      <c r="D7" s="7" t="s">
        <v>44</v>
      </c>
      <c r="E7" s="23" t="s">
        <v>80</v>
      </c>
      <c r="F7" s="8" t="s">
        <v>81</v>
      </c>
      <c r="G7" s="7" t="s">
        <v>82</v>
      </c>
      <c r="H7" s="23" t="s">
        <v>83</v>
      </c>
    </row>
    <row r="8" ht="20" customHeight="1" spans="1:8" x14ac:dyDescent="0.25">
      <c r="A8" s="24">
        <v>46327.5</v>
      </c>
      <c r="B8" s="25" t="s">
        <v>50</v>
      </c>
      <c r="C8" s="25" t="s">
        <v>84</v>
      </c>
      <c r="D8" s="25" t="s">
        <v>51</v>
      </c>
      <c r="E8" s="26" t="s">
        <v>85</v>
      </c>
      <c r="F8" s="27">
        <v>4300</v>
      </c>
      <c r="G8" s="25" t="s">
        <v>86</v>
      </c>
      <c r="H8" s="28">
        <v>46320.5</v>
      </c>
    </row>
    <row r="9" ht="20" customHeight="1" spans="1:8" x14ac:dyDescent="0.25">
      <c r="A9" s="20">
        <v>46336.5</v>
      </c>
      <c r="B9" s="13" t="s">
        <v>50</v>
      </c>
      <c r="C9" s="13" t="s">
        <v>84</v>
      </c>
      <c r="D9" s="13" t="s">
        <v>51</v>
      </c>
      <c r="E9" s="29" t="s">
        <v>87</v>
      </c>
      <c r="F9" s="15">
        <v>967</v>
      </c>
      <c r="G9" s="13" t="s">
        <v>88</v>
      </c>
      <c r="H9" s="30"/>
    </row>
    <row r="10" ht="20" customHeight="1" spans="1:8" x14ac:dyDescent="0.25">
      <c r="A10" s="19">
        <v>46366.5</v>
      </c>
      <c r="B10" s="10" t="s">
        <v>50</v>
      </c>
      <c r="C10" s="10" t="s">
        <v>84</v>
      </c>
      <c r="D10" s="10" t="s">
        <v>51</v>
      </c>
      <c r="E10" s="31" t="s">
        <v>89</v>
      </c>
      <c r="F10" s="12">
        <v>967</v>
      </c>
      <c r="G10" s="10" t="s">
        <v>90</v>
      </c>
      <c r="H10" s="32"/>
    </row>
    <row r="11" ht="20" customHeight="1" spans="1:8" x14ac:dyDescent="0.25">
      <c r="A11" s="20">
        <v>46397.5</v>
      </c>
      <c r="B11" s="13" t="s">
        <v>50</v>
      </c>
      <c r="C11" s="13" t="s">
        <v>84</v>
      </c>
      <c r="D11" s="13" t="s">
        <v>51</v>
      </c>
      <c r="E11" s="29" t="s">
        <v>91</v>
      </c>
      <c r="F11" s="15">
        <v>967</v>
      </c>
      <c r="G11" s="13" t="s">
        <v>90</v>
      </c>
      <c r="H11" s="30"/>
    </row>
    <row r="12" ht="20" customHeight="1" spans="1:8" x14ac:dyDescent="0.25">
      <c r="A12" s="19">
        <v>46428.5</v>
      </c>
      <c r="B12" s="10" t="s">
        <v>50</v>
      </c>
      <c r="C12" s="10" t="s">
        <v>84</v>
      </c>
      <c r="D12" s="10" t="s">
        <v>51</v>
      </c>
      <c r="E12" s="31" t="s">
        <v>92</v>
      </c>
      <c r="F12" s="12">
        <v>967</v>
      </c>
      <c r="G12" s="10" t="s">
        <v>90</v>
      </c>
      <c r="H12" s="32"/>
    </row>
    <row r="13" ht="20" customHeight="1" spans="1:8" x14ac:dyDescent="0.25">
      <c r="A13" s="20">
        <v>46456.5</v>
      </c>
      <c r="B13" s="13" t="s">
        <v>50</v>
      </c>
      <c r="C13" s="13" t="s">
        <v>84</v>
      </c>
      <c r="D13" s="13" t="s">
        <v>51</v>
      </c>
      <c r="E13" s="29" t="s">
        <v>93</v>
      </c>
      <c r="F13" s="15">
        <v>967</v>
      </c>
      <c r="G13" s="13" t="s">
        <v>90</v>
      </c>
      <c r="H13" s="30"/>
    </row>
    <row r="14" ht="20" customHeight="1" spans="1:8" x14ac:dyDescent="0.25">
      <c r="A14" s="19">
        <v>46487.5</v>
      </c>
      <c r="B14" s="10" t="s">
        <v>50</v>
      </c>
      <c r="C14" s="10" t="s">
        <v>84</v>
      </c>
      <c r="D14" s="10" t="s">
        <v>51</v>
      </c>
      <c r="E14" s="31" t="s">
        <v>94</v>
      </c>
      <c r="F14" s="12">
        <v>967</v>
      </c>
      <c r="G14" s="10" t="s">
        <v>90</v>
      </c>
      <c r="H14" s="32"/>
    </row>
    <row r="15" ht="20" customHeight="1" spans="1:8" x14ac:dyDescent="0.25">
      <c r="A15" s="20">
        <v>46517.5</v>
      </c>
      <c r="B15" s="13" t="s">
        <v>50</v>
      </c>
      <c r="C15" s="13" t="s">
        <v>84</v>
      </c>
      <c r="D15" s="13" t="s">
        <v>51</v>
      </c>
      <c r="E15" s="29" t="s">
        <v>95</v>
      </c>
      <c r="F15" s="15">
        <v>967</v>
      </c>
      <c r="G15" s="13" t="s">
        <v>90</v>
      </c>
      <c r="H15" s="30"/>
    </row>
    <row r="16" ht="20" customHeight="1" spans="1:8" x14ac:dyDescent="0.25">
      <c r="A16" s="19">
        <v>46548.5</v>
      </c>
      <c r="B16" s="10" t="s">
        <v>50</v>
      </c>
      <c r="C16" s="10" t="s">
        <v>84</v>
      </c>
      <c r="D16" s="10" t="s">
        <v>51</v>
      </c>
      <c r="E16" s="31" t="s">
        <v>96</v>
      </c>
      <c r="F16" s="12">
        <v>967</v>
      </c>
      <c r="G16" s="10" t="s">
        <v>90</v>
      </c>
      <c r="H16" s="32"/>
    </row>
    <row r="17" ht="20" customHeight="1" spans="1:8" x14ac:dyDescent="0.25">
      <c r="A17" s="20">
        <v>46578.5</v>
      </c>
      <c r="B17" s="13" t="s">
        <v>50</v>
      </c>
      <c r="C17" s="13" t="s">
        <v>84</v>
      </c>
      <c r="D17" s="13" t="s">
        <v>51</v>
      </c>
      <c r="E17" s="29" t="s">
        <v>97</v>
      </c>
      <c r="F17" s="15">
        <v>967</v>
      </c>
      <c r="G17" s="13" t="s">
        <v>90</v>
      </c>
      <c r="H17" s="30"/>
    </row>
    <row r="18" ht="20" customHeight="1" spans="1:8" x14ac:dyDescent="0.25">
      <c r="A18" s="19">
        <v>46609.5</v>
      </c>
      <c r="B18" s="10" t="s">
        <v>50</v>
      </c>
      <c r="C18" s="10" t="s">
        <v>84</v>
      </c>
      <c r="D18" s="10" t="s">
        <v>51</v>
      </c>
      <c r="E18" s="31" t="s">
        <v>98</v>
      </c>
      <c r="F18" s="12">
        <v>967</v>
      </c>
      <c r="G18" s="10" t="s">
        <v>90</v>
      </c>
      <c r="H18" s="32"/>
    </row>
    <row r="19" ht="20" customHeight="1" spans="1:8" x14ac:dyDescent="0.25">
      <c r="A19" s="20">
        <v>46640.5</v>
      </c>
      <c r="B19" s="13" t="s">
        <v>50</v>
      </c>
      <c r="C19" s="13" t="s">
        <v>84</v>
      </c>
      <c r="D19" s="13" t="s">
        <v>51</v>
      </c>
      <c r="E19" s="29" t="s">
        <v>99</v>
      </c>
      <c r="F19" s="15">
        <v>967</v>
      </c>
      <c r="G19" s="13" t="s">
        <v>90</v>
      </c>
      <c r="H19" s="30"/>
    </row>
    <row r="20" ht="20" customHeight="1" spans="1:8" x14ac:dyDescent="0.25">
      <c r="A20" s="19">
        <v>46670.5</v>
      </c>
      <c r="B20" s="10" t="s">
        <v>50</v>
      </c>
      <c r="C20" s="10" t="s">
        <v>84</v>
      </c>
      <c r="D20" s="10" t="s">
        <v>51</v>
      </c>
      <c r="E20" s="31" t="s">
        <v>100</v>
      </c>
      <c r="F20" s="12">
        <v>967</v>
      </c>
      <c r="G20" s="10" t="s">
        <v>90</v>
      </c>
      <c r="H20" s="32"/>
    </row>
    <row r="21" ht="20" customHeight="1" spans="1:8" x14ac:dyDescent="0.25">
      <c r="A21" s="20">
        <v>46701.5</v>
      </c>
      <c r="B21" s="13" t="s">
        <v>50</v>
      </c>
      <c r="C21" s="13" t="s">
        <v>84</v>
      </c>
      <c r="D21" s="13" t="s">
        <v>51</v>
      </c>
      <c r="E21" s="29" t="s">
        <v>101</v>
      </c>
      <c r="F21" s="15">
        <v>967</v>
      </c>
      <c r="G21" s="13" t="s">
        <v>90</v>
      </c>
      <c r="H21" s="30"/>
    </row>
    <row r="22" ht="20" customHeight="1" spans="1:8" x14ac:dyDescent="0.25">
      <c r="A22" s="19">
        <v>46731.5</v>
      </c>
      <c r="B22" s="10" t="s">
        <v>50</v>
      </c>
      <c r="C22" s="10" t="s">
        <v>84</v>
      </c>
      <c r="D22" s="10" t="s">
        <v>51</v>
      </c>
      <c r="E22" s="31" t="s">
        <v>102</v>
      </c>
      <c r="F22" s="12">
        <v>967</v>
      </c>
      <c r="G22" s="10" t="s">
        <v>90</v>
      </c>
      <c r="H22" s="32"/>
    </row>
    <row r="23" ht="20" customHeight="1" spans="1:8" x14ac:dyDescent="0.25">
      <c r="A23" s="20">
        <v>46762.5</v>
      </c>
      <c r="B23" s="13" t="s">
        <v>50</v>
      </c>
      <c r="C23" s="13" t="s">
        <v>84</v>
      </c>
      <c r="D23" s="13" t="s">
        <v>51</v>
      </c>
      <c r="E23" s="29" t="s">
        <v>103</v>
      </c>
      <c r="F23" s="15">
        <v>967</v>
      </c>
      <c r="G23" s="13" t="s">
        <v>90</v>
      </c>
      <c r="H23" s="30"/>
    </row>
    <row r="24" ht="20" customHeight="1" spans="1:8" x14ac:dyDescent="0.25">
      <c r="A24" s="19">
        <v>46793.5</v>
      </c>
      <c r="B24" s="10" t="s">
        <v>50</v>
      </c>
      <c r="C24" s="10" t="s">
        <v>84</v>
      </c>
      <c r="D24" s="10" t="s">
        <v>51</v>
      </c>
      <c r="E24" s="31" t="s">
        <v>104</v>
      </c>
      <c r="F24" s="12">
        <v>967</v>
      </c>
      <c r="G24" s="10" t="s">
        <v>90</v>
      </c>
      <c r="H24" s="32"/>
    </row>
    <row r="25" ht="20" customHeight="1" spans="1:8" x14ac:dyDescent="0.25">
      <c r="A25" s="20">
        <v>46822.5</v>
      </c>
      <c r="B25" s="13" t="s">
        <v>50</v>
      </c>
      <c r="C25" s="13" t="s">
        <v>84</v>
      </c>
      <c r="D25" s="13" t="s">
        <v>51</v>
      </c>
      <c r="E25" s="29" t="s">
        <v>105</v>
      </c>
      <c r="F25" s="15">
        <v>967</v>
      </c>
      <c r="G25" s="13" t="s">
        <v>90</v>
      </c>
      <c r="H25" s="30"/>
    </row>
    <row r="26" ht="20" customHeight="1" spans="1:8" x14ac:dyDescent="0.25">
      <c r="A26" s="19">
        <v>46853.5</v>
      </c>
      <c r="B26" s="10" t="s">
        <v>50</v>
      </c>
      <c r="C26" s="10" t="s">
        <v>84</v>
      </c>
      <c r="D26" s="10" t="s">
        <v>51</v>
      </c>
      <c r="E26" s="31" t="s">
        <v>106</v>
      </c>
      <c r="F26" s="12">
        <v>967</v>
      </c>
      <c r="G26" s="10" t="s">
        <v>90</v>
      </c>
      <c r="H26" s="32"/>
    </row>
    <row r="27" ht="20" customHeight="1" spans="1:8" x14ac:dyDescent="0.25">
      <c r="A27" s="20">
        <v>46883.5</v>
      </c>
      <c r="B27" s="13" t="s">
        <v>50</v>
      </c>
      <c r="C27" s="13" t="s">
        <v>84</v>
      </c>
      <c r="D27" s="13" t="s">
        <v>51</v>
      </c>
      <c r="E27" s="29" t="s">
        <v>107</v>
      </c>
      <c r="F27" s="15">
        <v>967</v>
      </c>
      <c r="G27" s="13" t="s">
        <v>90</v>
      </c>
      <c r="H27" s="30"/>
    </row>
    <row r="28" ht="20" customHeight="1" spans="1:8" x14ac:dyDescent="0.25">
      <c r="A28" s="19">
        <v>46914.5</v>
      </c>
      <c r="B28" s="10" t="s">
        <v>50</v>
      </c>
      <c r="C28" s="10" t="s">
        <v>84</v>
      </c>
      <c r="D28" s="10" t="s">
        <v>51</v>
      </c>
      <c r="E28" s="31" t="s">
        <v>108</v>
      </c>
      <c r="F28" s="12">
        <v>967</v>
      </c>
      <c r="G28" s="10" t="s">
        <v>90</v>
      </c>
      <c r="H28" s="32"/>
    </row>
    <row r="29" ht="20" customHeight="1" spans="1:8" x14ac:dyDescent="0.25">
      <c r="A29" s="20">
        <v>46944.5</v>
      </c>
      <c r="B29" s="13" t="s">
        <v>50</v>
      </c>
      <c r="C29" s="13" t="s">
        <v>84</v>
      </c>
      <c r="D29" s="13" t="s">
        <v>51</v>
      </c>
      <c r="E29" s="29" t="s">
        <v>109</v>
      </c>
      <c r="F29" s="15">
        <v>967</v>
      </c>
      <c r="G29" s="13" t="s">
        <v>90</v>
      </c>
      <c r="H29" s="30"/>
    </row>
    <row r="30" ht="20" customHeight="1" spans="1:8" x14ac:dyDescent="0.25">
      <c r="A30" s="19">
        <v>46975.5</v>
      </c>
      <c r="B30" s="10" t="s">
        <v>50</v>
      </c>
      <c r="C30" s="10" t="s">
        <v>84</v>
      </c>
      <c r="D30" s="10" t="s">
        <v>51</v>
      </c>
      <c r="E30" s="31" t="s">
        <v>110</v>
      </c>
      <c r="F30" s="12">
        <v>967</v>
      </c>
      <c r="G30" s="10" t="s">
        <v>90</v>
      </c>
      <c r="H30" s="32"/>
    </row>
    <row r="31" ht="20" customHeight="1" spans="1:8" x14ac:dyDescent="0.25">
      <c r="A31" s="20">
        <v>47006.5</v>
      </c>
      <c r="B31" s="13" t="s">
        <v>50</v>
      </c>
      <c r="C31" s="13" t="s">
        <v>84</v>
      </c>
      <c r="D31" s="13" t="s">
        <v>51</v>
      </c>
      <c r="E31" s="29" t="s">
        <v>111</v>
      </c>
      <c r="F31" s="15">
        <v>967</v>
      </c>
      <c r="G31" s="13" t="s">
        <v>90</v>
      </c>
      <c r="H31" s="30"/>
    </row>
    <row r="32" ht="20" customHeight="1" spans="1:8" x14ac:dyDescent="0.25">
      <c r="A32" s="19">
        <v>47036.5</v>
      </c>
      <c r="B32" s="10" t="s">
        <v>50</v>
      </c>
      <c r="C32" s="10" t="s">
        <v>84</v>
      </c>
      <c r="D32" s="10" t="s">
        <v>51</v>
      </c>
      <c r="E32" s="31" t="s">
        <v>112</v>
      </c>
      <c r="F32" s="12">
        <v>959</v>
      </c>
      <c r="G32" s="10" t="s">
        <v>90</v>
      </c>
      <c r="H32" s="32"/>
    </row>
    <row r="33" ht="24" customHeight="1" spans="1:8" x14ac:dyDescent="0.25">
      <c r="A33" s="21" t="s">
        <v>113</v>
      </c>
      <c r="B33" s="21"/>
      <c r="C33" s="21"/>
      <c r="D33" s="21"/>
      <c r="E33" s="21"/>
      <c r="F33" s="22">
        <f>SUBTOTAL(9,F8:F32)</f>
      </c>
      <c r="G33" s="21"/>
      <c r="H33" s="21"/>
    </row>
  </sheetData>
  <autoFilter ref="A7:H32"/>
  <mergeCells count="2">
    <mergeCell ref="C2:H2"/>
    <mergeCell ref="C3:H3"/>
  </mergeCells>
  <pageMargins left="0.4" right="0.4" top="0.5" bottom="0.6" header="0.2" footer="0.3"/>
  <pageSetup paperSize="9" orientation="landscape" fitToWidth="1" fitToHeight="0"/>
  <headerFooter>
    <oddHeader>&amp;R&amp;8&amp;K6B7A86CONTROL DE COBRANZA</oddHeader>
    <oddFooter>&amp;L&amp;8Inmobiliaria &amp;&amp; Constructora Vivaldi S.A.C. · RUC 20604145458&amp;R&amp;8Página &amp;P de &amp;N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G12"/>
  <sheetViews>
    <sheetView workbookViewId="0" showGridLines="0" zoomScale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24" customWidth="1"/>
    <col min="2" max="2" width="12" customWidth="1"/>
    <col min="3" max="3" width="26" customWidth="1"/>
    <col min="4" max="4" width="16" customWidth="1"/>
    <col min="5" max="5" width="15" customWidth="1"/>
    <col min="6" max="6" width="14" customWidth="1"/>
    <col min="7" max="7" width="46" customWidth="1"/>
  </cols>
  <sheetData>
    <row r="1" ht="14" customHeight="1" x14ac:dyDescent="0.25"/>
    <row r="2" ht="30" customHeight="1" spans="3:7" x14ac:dyDescent="0.25">
      <c r="C2" s="1" t="s">
        <v>114</v>
      </c>
      <c r="D2"/>
      <c r="E2"/>
      <c r="F2"/>
      <c r="G2"/>
    </row>
    <row r="3" ht="18" customHeight="1" spans="3:7" x14ac:dyDescent="0.25">
      <c r="C3" s="2" t="s">
        <v>1</v>
      </c>
      <c r="D3"/>
      <c r="E3"/>
      <c r="F3"/>
      <c r="G3"/>
    </row>
    <row r="5" ht="5" customHeight="1" spans="1:7" x14ac:dyDescent="0.25">
      <c r="A5" s="3"/>
      <c r="B5" s="3"/>
      <c r="C5" s="3"/>
      <c r="D5" s="3"/>
      <c r="E5" s="4"/>
      <c r="F5" s="4"/>
      <c r="G5" s="4"/>
    </row>
    <row r="7" ht="24" customHeight="1" spans="1:7" x14ac:dyDescent="0.25">
      <c r="A7" s="7" t="s">
        <v>115</v>
      </c>
      <c r="B7" s="7" t="s">
        <v>79</v>
      </c>
      <c r="C7" s="7" t="s">
        <v>44</v>
      </c>
      <c r="D7" s="7" t="s">
        <v>116</v>
      </c>
      <c r="E7" s="8" t="s">
        <v>117</v>
      </c>
      <c r="F7" s="8" t="s">
        <v>118</v>
      </c>
      <c r="G7" s="7" t="s">
        <v>119</v>
      </c>
    </row>
    <row r="8" spans="1:7" x14ac:dyDescent="0.25">
      <c r="A8" s="10" t="s">
        <v>120</v>
      </c>
      <c r="B8" s="10" t="s">
        <v>121</v>
      </c>
      <c r="C8" s="10" t="s">
        <v>51</v>
      </c>
      <c r="D8" s="10" t="s">
        <v>122</v>
      </c>
      <c r="E8" s="19">
        <v>46315.5</v>
      </c>
      <c r="F8" s="12"/>
      <c r="G8" s="33" t="s">
        <v>123</v>
      </c>
    </row>
    <row r="9" spans="1:7" x14ac:dyDescent="0.25">
      <c r="A9" s="13" t="s">
        <v>56</v>
      </c>
      <c r="B9" s="13" t="s">
        <v>124</v>
      </c>
      <c r="C9" s="13" t="s">
        <v>51</v>
      </c>
      <c r="D9" s="13" t="s">
        <v>125</v>
      </c>
      <c r="E9" s="20">
        <v>46322.5</v>
      </c>
      <c r="F9" s="15">
        <v>29000</v>
      </c>
      <c r="G9" s="34" t="s">
        <v>126</v>
      </c>
    </row>
    <row r="10" spans="1:7" x14ac:dyDescent="0.25">
      <c r="A10" s="10" t="s">
        <v>60</v>
      </c>
      <c r="B10" s="10" t="s">
        <v>127</v>
      </c>
      <c r="C10" s="10" t="s">
        <v>51</v>
      </c>
      <c r="D10" s="10" t="s">
        <v>125</v>
      </c>
      <c r="E10" s="19">
        <v>46322.5</v>
      </c>
      <c r="F10" s="12">
        <v>29000</v>
      </c>
      <c r="G10" s="33" t="s">
        <v>128</v>
      </c>
    </row>
    <row r="11" spans="1:7" x14ac:dyDescent="0.25">
      <c r="A11" s="13" t="s">
        <v>64</v>
      </c>
      <c r="B11" s="13" t="s">
        <v>129</v>
      </c>
      <c r="C11" s="13" t="s">
        <v>51</v>
      </c>
      <c r="D11" s="13" t="s">
        <v>125</v>
      </c>
      <c r="E11" s="20">
        <v>46322.5</v>
      </c>
      <c r="F11" s="15">
        <v>29000</v>
      </c>
      <c r="G11" s="34" t="s">
        <v>130</v>
      </c>
    </row>
    <row r="12" spans="1:7" x14ac:dyDescent="0.25">
      <c r="A12" s="10" t="s">
        <v>50</v>
      </c>
      <c r="B12" s="10" t="s">
        <v>84</v>
      </c>
      <c r="C12" s="10" t="s">
        <v>51</v>
      </c>
      <c r="D12" s="10" t="s">
        <v>131</v>
      </c>
      <c r="E12" s="19">
        <v>46322.5</v>
      </c>
      <c r="F12" s="12">
        <v>29000</v>
      </c>
      <c r="G12" s="33" t="s">
        <v>132</v>
      </c>
    </row>
  </sheetData>
  <autoFilter ref="A7:G12"/>
  <mergeCells count="2">
    <mergeCell ref="C2:G2"/>
    <mergeCell ref="C3:G3"/>
  </mergeCells>
  <pageMargins left="0.4" right="0.4" top="0.5" bottom="0.6" header="0.2" footer="0.3"/>
  <pageSetup paperSize="9" orientation="landscape" fitToWidth="1" fitToHeight="0"/>
  <headerFooter>
    <oddHeader>&amp;R&amp;8&amp;K6B7A86CARTERA DE CLIENTES</oddHeader>
    <oddFooter>&amp;L&amp;8Inmobiliaria &amp;&amp; Constructora Vivaldi S.A.C. · RUC 20604145458&amp;R&amp;8Página &amp;P de &amp;N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G9"/>
  <sheetViews>
    <sheetView workbookViewId="0" showGridLines="0" zoomScale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26" customWidth="1"/>
    <col min="2" max="2" width="11" customWidth="1"/>
    <col min="3" max="3" width="16" customWidth="1"/>
    <col min="4" max="4" width="13" customWidth="1"/>
    <col min="6" max="6" width="15" customWidth="1"/>
    <col min="7" max="7" width="13" customWidth="1"/>
  </cols>
  <sheetData>
    <row r="1" ht="14" customHeight="1" x14ac:dyDescent="0.25"/>
    <row r="2" ht="30" customHeight="1" spans="3:7" x14ac:dyDescent="0.25">
      <c r="C2" s="1" t="s">
        <v>133</v>
      </c>
      <c r="D2"/>
      <c r="E2"/>
      <c r="F2"/>
      <c r="G2"/>
    </row>
    <row r="3" ht="18" customHeight="1" spans="3:7" x14ac:dyDescent="0.25">
      <c r="C3" s="2" t="s">
        <v>1</v>
      </c>
      <c r="D3"/>
      <c r="E3"/>
      <c r="F3"/>
      <c r="G3"/>
    </row>
    <row r="5" ht="5" customHeight="1" spans="1:7" x14ac:dyDescent="0.25">
      <c r="A5" s="3"/>
      <c r="B5" s="3"/>
      <c r="C5" s="3"/>
      <c r="D5" s="3"/>
      <c r="E5" s="4"/>
      <c r="F5" s="4"/>
      <c r="G5" s="4"/>
    </row>
    <row r="7" ht="24" customHeight="1" spans="1:7" x14ac:dyDescent="0.25">
      <c r="A7" s="7" t="s">
        <v>48</v>
      </c>
      <c r="B7" s="8" t="s">
        <v>134</v>
      </c>
      <c r="C7" s="8" t="s">
        <v>11</v>
      </c>
      <c r="D7" s="8" t="s">
        <v>135</v>
      </c>
      <c r="E7" s="8" t="s">
        <v>136</v>
      </c>
      <c r="F7" s="8" t="s">
        <v>137</v>
      </c>
      <c r="G7" s="8" t="s">
        <v>138</v>
      </c>
    </row>
    <row r="8" ht="20" customHeight="1" spans="1:7" x14ac:dyDescent="0.25">
      <c r="A8" s="10" t="s">
        <v>54</v>
      </c>
      <c r="B8" s="35">
        <v>5</v>
      </c>
      <c r="C8" s="12">
        <v>144000</v>
      </c>
      <c r="D8" s="35">
        <v>1</v>
      </c>
      <c r="E8" s="35">
        <v>1</v>
      </c>
      <c r="F8" s="12">
        <v>4300</v>
      </c>
      <c r="G8" s="36">
        <v>0.2</v>
      </c>
    </row>
    <row r="9" ht="24" customHeight="1" spans="1:7" x14ac:dyDescent="0.25">
      <c r="A9" s="21" t="s">
        <v>139</v>
      </c>
      <c r="B9" s="37">
        <f>SUBTOTAL(9,B8:B8)</f>
      </c>
      <c r="C9" s="22">
        <f>SUBTOTAL(9,C8:C8)</f>
      </c>
      <c r="D9" s="37">
        <f>SUBTOTAL(9,D8:D8)</f>
      </c>
      <c r="E9" s="37">
        <f>SUBTOTAL(9,E8:E8)</f>
      </c>
      <c r="F9" s="22">
        <f>SUBTOTAL(9,F8:F8)</f>
      </c>
      <c r="G9" s="21"/>
    </row>
  </sheetData>
  <autoFilter ref="A7:G8"/>
  <mergeCells count="2">
    <mergeCell ref="C2:G2"/>
    <mergeCell ref="C3:G3"/>
  </mergeCells>
  <pageMargins left="0.4" right="0.4" top="0.5" bottom="0.6" header="0.2" footer="0.3"/>
  <pageSetup paperSize="9" orientation="landscape" fitToWidth="1" fitToHeight="0"/>
  <headerFooter>
    <oddHeader>&amp;R&amp;8&amp;K6B7A86RANKING POR ASESOR (HISTÓRICO)</oddHeader>
    <oddFooter>&amp;L&amp;8Inmobiliaria &amp;&amp; Constructora Vivaldi S.A.C. · RUC 20604145458&amp;R&amp;8Página &amp;P de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A85C5"/>
    <pageSetUpPr fitToPage="1"/>
  </sheetPr>
  <dimension ref="A1:H29"/>
  <sheetViews>
    <sheetView workbookViewId="0" showGridLines="0" zoomScale="10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" customWidth="1"/>
    <col min="3" max="3" width="8" customWidth="1"/>
    <col min="4" max="4" width="10" customWidth="1"/>
    <col min="5" max="5" width="14" customWidth="1"/>
    <col min="6" max="6" width="18" customWidth="1"/>
    <col min="7" max="7" width="12" customWidth="1"/>
    <col min="8" max="8" width="26" customWidth="1"/>
  </cols>
  <sheetData>
    <row r="1" ht="14" customHeight="1" x14ac:dyDescent="0.25"/>
    <row r="2" ht="30" customHeight="1" spans="3:8" x14ac:dyDescent="0.25">
      <c r="C2" s="1" t="s">
        <v>140</v>
      </c>
      <c r="D2"/>
      <c r="E2"/>
      <c r="F2"/>
      <c r="G2"/>
      <c r="H2"/>
    </row>
    <row r="3" ht="18" customHeight="1" spans="3:8" x14ac:dyDescent="0.25">
      <c r="C3" s="2" t="s">
        <v>1</v>
      </c>
      <c r="D3"/>
      <c r="E3"/>
      <c r="F3"/>
      <c r="G3"/>
      <c r="H3"/>
    </row>
    <row r="5" ht="5" customHeight="1" spans="1:8" x14ac:dyDescent="0.25">
      <c r="A5" s="3"/>
      <c r="B5" s="3"/>
      <c r="C5" s="3"/>
      <c r="D5" s="3"/>
      <c r="E5" s="4"/>
      <c r="F5" s="4"/>
      <c r="G5" s="4"/>
      <c r="H5" s="4"/>
    </row>
    <row r="7" ht="24" customHeight="1" spans="1:8" x14ac:dyDescent="0.25">
      <c r="A7" s="7" t="s">
        <v>44</v>
      </c>
      <c r="B7" s="7" t="s">
        <v>141</v>
      </c>
      <c r="C7" s="7" t="s">
        <v>142</v>
      </c>
      <c r="D7" s="8" t="s">
        <v>143</v>
      </c>
      <c r="E7" s="8" t="s">
        <v>144</v>
      </c>
      <c r="F7" s="7" t="s">
        <v>145</v>
      </c>
      <c r="G7" s="7" t="s">
        <v>82</v>
      </c>
      <c r="H7" s="7" t="s">
        <v>43</v>
      </c>
    </row>
    <row r="8" ht="20" customHeight="1" spans="1:8" x14ac:dyDescent="0.25">
      <c r="A8" s="10" t="s">
        <v>51</v>
      </c>
      <c r="B8" s="10" t="s">
        <v>146</v>
      </c>
      <c r="C8" s="10" t="s">
        <v>147</v>
      </c>
      <c r="D8" s="11">
        <v>200</v>
      </c>
      <c r="E8" s="12">
        <v>29000</v>
      </c>
      <c r="F8" s="10" t="s">
        <v>148</v>
      </c>
      <c r="G8" s="10" t="s">
        <v>149</v>
      </c>
      <c r="H8" s="10" t="s">
        <v>13</v>
      </c>
    </row>
    <row r="9" ht="20" customHeight="1" spans="1:8" x14ac:dyDescent="0.25">
      <c r="A9" s="13" t="s">
        <v>51</v>
      </c>
      <c r="B9" s="13" t="s">
        <v>146</v>
      </c>
      <c r="C9" s="13" t="s">
        <v>150</v>
      </c>
      <c r="D9" s="14">
        <v>200</v>
      </c>
      <c r="E9" s="15">
        <v>29000</v>
      </c>
      <c r="F9" s="13" t="s">
        <v>148</v>
      </c>
      <c r="G9" s="13" t="s">
        <v>149</v>
      </c>
      <c r="H9" s="13" t="s">
        <v>13</v>
      </c>
    </row>
    <row r="10" ht="20" customHeight="1" spans="1:8" x14ac:dyDescent="0.25">
      <c r="A10" s="38" t="s">
        <v>51</v>
      </c>
      <c r="B10" s="38" t="s">
        <v>146</v>
      </c>
      <c r="C10" s="38" t="s">
        <v>151</v>
      </c>
      <c r="D10" s="39">
        <v>200</v>
      </c>
      <c r="E10" s="40">
        <v>29000</v>
      </c>
      <c r="F10" s="38" t="s">
        <v>148</v>
      </c>
      <c r="G10" s="38" t="s">
        <v>131</v>
      </c>
      <c r="H10" s="38" t="s">
        <v>50</v>
      </c>
    </row>
    <row r="11" ht="20" customHeight="1" spans="1:8" x14ac:dyDescent="0.25">
      <c r="A11" s="13" t="s">
        <v>51</v>
      </c>
      <c r="B11" s="13" t="s">
        <v>146</v>
      </c>
      <c r="C11" s="13" t="s">
        <v>152</v>
      </c>
      <c r="D11" s="14">
        <v>200</v>
      </c>
      <c r="E11" s="15">
        <v>29000</v>
      </c>
      <c r="F11" s="13" t="s">
        <v>148</v>
      </c>
      <c r="G11" s="13" t="s">
        <v>149</v>
      </c>
      <c r="H11" s="13" t="s">
        <v>13</v>
      </c>
    </row>
    <row r="12" ht="20" customHeight="1" spans="1:8" x14ac:dyDescent="0.25">
      <c r="A12" s="10" t="s">
        <v>51</v>
      </c>
      <c r="B12" s="10" t="s">
        <v>146</v>
      </c>
      <c r="C12" s="10" t="s">
        <v>153</v>
      </c>
      <c r="D12" s="11">
        <v>200</v>
      </c>
      <c r="E12" s="12">
        <v>29000</v>
      </c>
      <c r="F12" s="10" t="s">
        <v>148</v>
      </c>
      <c r="G12" s="10" t="s">
        <v>149</v>
      </c>
      <c r="H12" s="10" t="s">
        <v>13</v>
      </c>
    </row>
    <row r="13" ht="20" customHeight="1" spans="1:8" x14ac:dyDescent="0.25">
      <c r="A13" s="13" t="s">
        <v>51</v>
      </c>
      <c r="B13" s="13" t="s">
        <v>146</v>
      </c>
      <c r="C13" s="13" t="s">
        <v>154</v>
      </c>
      <c r="D13" s="14">
        <v>200</v>
      </c>
      <c r="E13" s="15">
        <v>29000</v>
      </c>
      <c r="F13" s="13" t="s">
        <v>148</v>
      </c>
      <c r="G13" s="13" t="s">
        <v>149</v>
      </c>
      <c r="H13" s="13" t="s">
        <v>13</v>
      </c>
    </row>
    <row r="14" ht="20" customHeight="1" spans="1:8" x14ac:dyDescent="0.25">
      <c r="A14" s="10" t="s">
        <v>51</v>
      </c>
      <c r="B14" s="10" t="s">
        <v>146</v>
      </c>
      <c r="C14" s="10" t="s">
        <v>155</v>
      </c>
      <c r="D14" s="11">
        <v>200</v>
      </c>
      <c r="E14" s="12">
        <v>29000</v>
      </c>
      <c r="F14" s="10" t="s">
        <v>148</v>
      </c>
      <c r="G14" s="10" t="s">
        <v>149</v>
      </c>
      <c r="H14" s="10" t="s">
        <v>13</v>
      </c>
    </row>
    <row r="15" ht="20" customHeight="1" spans="1:8" x14ac:dyDescent="0.25">
      <c r="A15" s="13" t="s">
        <v>51</v>
      </c>
      <c r="B15" s="13" t="s">
        <v>146</v>
      </c>
      <c r="C15" s="13" t="s">
        <v>156</v>
      </c>
      <c r="D15" s="14">
        <v>200</v>
      </c>
      <c r="E15" s="15">
        <v>29000</v>
      </c>
      <c r="F15" s="13" t="s">
        <v>148</v>
      </c>
      <c r="G15" s="13" t="s">
        <v>149</v>
      </c>
      <c r="H15" s="13" t="s">
        <v>13</v>
      </c>
    </row>
    <row r="16" ht="20" customHeight="1" spans="1:8" x14ac:dyDescent="0.25">
      <c r="A16" s="10" t="s">
        <v>51</v>
      </c>
      <c r="B16" s="10" t="s">
        <v>146</v>
      </c>
      <c r="C16" s="10" t="s">
        <v>157</v>
      </c>
      <c r="D16" s="11">
        <v>200</v>
      </c>
      <c r="E16" s="12">
        <v>29000</v>
      </c>
      <c r="F16" s="10" t="s">
        <v>148</v>
      </c>
      <c r="G16" s="10" t="s">
        <v>149</v>
      </c>
      <c r="H16" s="10" t="s">
        <v>13</v>
      </c>
    </row>
    <row r="17" ht="20" customHeight="1" spans="1:8" x14ac:dyDescent="0.25">
      <c r="A17" s="13" t="s">
        <v>51</v>
      </c>
      <c r="B17" s="13" t="s">
        <v>146</v>
      </c>
      <c r="C17" s="13" t="s">
        <v>158</v>
      </c>
      <c r="D17" s="14">
        <v>200</v>
      </c>
      <c r="E17" s="15">
        <v>29000</v>
      </c>
      <c r="F17" s="13" t="s">
        <v>148</v>
      </c>
      <c r="G17" s="13" t="s">
        <v>149</v>
      </c>
      <c r="H17" s="13" t="s">
        <v>13</v>
      </c>
    </row>
    <row r="18" ht="20" customHeight="1" spans="1:8" x14ac:dyDescent="0.25">
      <c r="A18" s="10" t="s">
        <v>51</v>
      </c>
      <c r="B18" s="10" t="s">
        <v>146</v>
      </c>
      <c r="C18" s="10" t="s">
        <v>159</v>
      </c>
      <c r="D18" s="11">
        <v>200</v>
      </c>
      <c r="E18" s="12">
        <v>29000</v>
      </c>
      <c r="F18" s="10" t="s">
        <v>148</v>
      </c>
      <c r="G18" s="10" t="s">
        <v>149</v>
      </c>
      <c r="H18" s="10" t="s">
        <v>13</v>
      </c>
    </row>
    <row r="19" ht="20" customHeight="1" spans="1:8" x14ac:dyDescent="0.25">
      <c r="A19" s="13" t="s">
        <v>51</v>
      </c>
      <c r="B19" s="13" t="s">
        <v>146</v>
      </c>
      <c r="C19" s="13" t="s">
        <v>160</v>
      </c>
      <c r="D19" s="14">
        <v>200</v>
      </c>
      <c r="E19" s="15">
        <v>29000</v>
      </c>
      <c r="F19" s="13" t="s">
        <v>148</v>
      </c>
      <c r="G19" s="13" t="s">
        <v>149</v>
      </c>
      <c r="H19" s="13" t="s">
        <v>13</v>
      </c>
    </row>
    <row r="20" ht="20" customHeight="1" spans="1:8" x14ac:dyDescent="0.25">
      <c r="A20" s="10" t="s">
        <v>51</v>
      </c>
      <c r="B20" s="10" t="s">
        <v>146</v>
      </c>
      <c r="C20" s="10" t="s">
        <v>161</v>
      </c>
      <c r="D20" s="11">
        <v>200</v>
      </c>
      <c r="E20" s="12">
        <v>29000</v>
      </c>
      <c r="F20" s="10" t="s">
        <v>148</v>
      </c>
      <c r="G20" s="10" t="s">
        <v>149</v>
      </c>
      <c r="H20" s="10" t="s">
        <v>13</v>
      </c>
    </row>
    <row r="21" ht="20" customHeight="1" spans="1:8" x14ac:dyDescent="0.25">
      <c r="A21" s="13" t="s">
        <v>51</v>
      </c>
      <c r="B21" s="13" t="s">
        <v>146</v>
      </c>
      <c r="C21" s="13" t="s">
        <v>162</v>
      </c>
      <c r="D21" s="14">
        <v>200</v>
      </c>
      <c r="E21" s="15">
        <v>29000</v>
      </c>
      <c r="F21" s="13" t="s">
        <v>148</v>
      </c>
      <c r="G21" s="13" t="s">
        <v>149</v>
      </c>
      <c r="H21" s="13" t="s">
        <v>13</v>
      </c>
    </row>
    <row r="22" ht="20" customHeight="1" spans="1:8" x14ac:dyDescent="0.25">
      <c r="A22" s="10" t="s">
        <v>51</v>
      </c>
      <c r="B22" s="10" t="s">
        <v>163</v>
      </c>
      <c r="C22" s="10" t="s">
        <v>147</v>
      </c>
      <c r="D22" s="11">
        <v>200</v>
      </c>
      <c r="E22" s="12">
        <v>29000</v>
      </c>
      <c r="F22" s="10" t="s">
        <v>164</v>
      </c>
      <c r="G22" s="10" t="s">
        <v>149</v>
      </c>
      <c r="H22" s="10" t="s">
        <v>13</v>
      </c>
    </row>
    <row r="23" ht="20" customHeight="1" spans="1:8" x14ac:dyDescent="0.25">
      <c r="A23" s="13" t="s">
        <v>51</v>
      </c>
      <c r="B23" s="13" t="s">
        <v>163</v>
      </c>
      <c r="C23" s="13" t="s">
        <v>150</v>
      </c>
      <c r="D23" s="14">
        <v>200</v>
      </c>
      <c r="E23" s="15">
        <v>29000</v>
      </c>
      <c r="F23" s="13" t="s">
        <v>164</v>
      </c>
      <c r="G23" s="13" t="s">
        <v>149</v>
      </c>
      <c r="H23" s="13" t="s">
        <v>13</v>
      </c>
    </row>
    <row r="24" ht="20" customHeight="1" spans="1:8" x14ac:dyDescent="0.25">
      <c r="A24" s="10" t="s">
        <v>51</v>
      </c>
      <c r="B24" s="10" t="s">
        <v>163</v>
      </c>
      <c r="C24" s="10" t="s">
        <v>151</v>
      </c>
      <c r="D24" s="11">
        <v>200</v>
      </c>
      <c r="E24" s="12">
        <v>29000</v>
      </c>
      <c r="F24" s="10" t="s">
        <v>164</v>
      </c>
      <c r="G24" s="10" t="s">
        <v>149</v>
      </c>
      <c r="H24" s="10" t="s">
        <v>13</v>
      </c>
    </row>
    <row r="25" ht="20" customHeight="1" spans="1:8" x14ac:dyDescent="0.25">
      <c r="A25" s="13" t="s">
        <v>51</v>
      </c>
      <c r="B25" s="13" t="s">
        <v>163</v>
      </c>
      <c r="C25" s="13" t="s">
        <v>152</v>
      </c>
      <c r="D25" s="14">
        <v>200</v>
      </c>
      <c r="E25" s="15">
        <v>29000</v>
      </c>
      <c r="F25" s="13" t="s">
        <v>164</v>
      </c>
      <c r="G25" s="13" t="s">
        <v>149</v>
      </c>
      <c r="H25" s="13" t="s">
        <v>13</v>
      </c>
    </row>
    <row r="26" ht="20" customHeight="1" spans="1:8" x14ac:dyDescent="0.25">
      <c r="A26" s="10" t="s">
        <v>51</v>
      </c>
      <c r="B26" s="10" t="s">
        <v>163</v>
      </c>
      <c r="C26" s="10" t="s">
        <v>153</v>
      </c>
      <c r="D26" s="11">
        <v>200</v>
      </c>
      <c r="E26" s="12">
        <v>29000</v>
      </c>
      <c r="F26" s="10" t="s">
        <v>164</v>
      </c>
      <c r="G26" s="10" t="s">
        <v>149</v>
      </c>
      <c r="H26" s="10" t="s">
        <v>13</v>
      </c>
    </row>
    <row r="27" ht="20" customHeight="1" spans="1:8" x14ac:dyDescent="0.25">
      <c r="A27" s="13" t="s">
        <v>51</v>
      </c>
      <c r="B27" s="13" t="s">
        <v>163</v>
      </c>
      <c r="C27" s="13" t="s">
        <v>154</v>
      </c>
      <c r="D27" s="14">
        <v>200</v>
      </c>
      <c r="E27" s="15">
        <v>29000</v>
      </c>
      <c r="F27" s="13" t="s">
        <v>164</v>
      </c>
      <c r="G27" s="13" t="s">
        <v>149</v>
      </c>
      <c r="H27" s="13" t="s">
        <v>13</v>
      </c>
    </row>
    <row r="28" ht="20" customHeight="1" spans="1:8" x14ac:dyDescent="0.25">
      <c r="A28" s="10" t="s">
        <v>51</v>
      </c>
      <c r="B28" s="10" t="s">
        <v>163</v>
      </c>
      <c r="C28" s="10" t="s">
        <v>155</v>
      </c>
      <c r="D28" s="11">
        <v>200</v>
      </c>
      <c r="E28" s="12">
        <v>29000</v>
      </c>
      <c r="F28" s="10" t="s">
        <v>164</v>
      </c>
      <c r="G28" s="10" t="s">
        <v>149</v>
      </c>
      <c r="H28" s="10" t="s">
        <v>13</v>
      </c>
    </row>
    <row r="29" ht="20" customHeight="1" spans="1:8" x14ac:dyDescent="0.25">
      <c r="A29" s="13" t="s">
        <v>51</v>
      </c>
      <c r="B29" s="13" t="s">
        <v>163</v>
      </c>
      <c r="C29" s="13" t="s">
        <v>156</v>
      </c>
      <c r="D29" s="14">
        <v>200</v>
      </c>
      <c r="E29" s="15">
        <v>29000</v>
      </c>
      <c r="F29" s="13" t="s">
        <v>164</v>
      </c>
      <c r="G29" s="13" t="s">
        <v>149</v>
      </c>
      <c r="H29" s="13" t="s">
        <v>13</v>
      </c>
    </row>
  </sheetData>
  <autoFilter ref="A7:H29"/>
  <mergeCells count="2">
    <mergeCell ref="C2:H2"/>
    <mergeCell ref="C3:H3"/>
  </mergeCells>
  <pageMargins left="0.4" right="0.4" top="0.5" bottom="0.6" header="0.2" footer="0.3"/>
  <pageSetup paperSize="9" orientation="landscape" fitToWidth="1" fitToHeight="0"/>
  <headerFooter>
    <oddHeader>&amp;R&amp;8&amp;K6B7A86INVENTARIO DE LOTES</oddHeader>
    <oddFooter>&amp;L&amp;8Inmobiliaria &amp;&amp; Constructora Vivaldi S.A.C. · RUC 20604145458&amp;R&amp;8Página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</vt:lpstr>
      <vt:lpstr>Proformas</vt:lpstr>
      <vt:lpstr>Separaciones</vt:lpstr>
      <vt:lpstr>Cobranza</vt:lpstr>
      <vt:lpstr>Clientes</vt:lpstr>
      <vt:lpstr>Asesores</vt:lpstr>
      <vt:lpstr>Inventario</vt:lpstr>
    </vt:vector>
  </TitlesOfParts>
  <Company>Inmobiliaria &amp; Constructora Vivaldi S.A.C.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Ramírez</dc:creator>
  <dc:title>reporte-gerencial-vivaldi-2026-10-25</dc:title>
  <dc:subject>Herramienta de ventas Vivaldi</dc:subject>
  <dc:description/>
  <cp:keywords/>
  <cp:category/>
  <cp:lastModifiedBy>Carlos Ramírez</cp:lastModifiedBy>
  <dcterms:created xsi:type="dcterms:W3CDTF">2026-10-25T14:51:07Z</dcterms:created>
  <dcterms:modified xsi:type="dcterms:W3CDTF">2026-10-25T14:51:07Z</dcterms:modified>
</cp:coreProperties>
</file>