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lientes" state="visible" r:id="rId4"/>
  </sheets>
  <definedNames>
    <definedName name="_xlnm.Print_Titles" localSheetId="0">'Clientes'!$16:$16</definedName>
  </definedNames>
  <calcPr calcId="171027"/>
</workbook>
</file>

<file path=xl/sharedStrings.xml><?xml version="1.0" encoding="utf-8"?>
<sst xmlns="http://schemas.openxmlformats.org/spreadsheetml/2006/main" count="46" uniqueCount="35">
  <si>
    <t>CARTERA DE CLIENTES</t>
  </si>
  <si>
    <t>Asesor: Carlos Ramírez · Reporte al 25/10/2026 · 5 clientes</t>
  </si>
  <si>
    <t>Etapa</t>
  </si>
  <si>
    <t>Clientes</t>
  </si>
  <si>
    <t>Presupuesto</t>
  </si>
  <si>
    <t>Nuevo</t>
  </si>
  <si>
    <t>Contactado</t>
  </si>
  <si>
    <t>Visita agendada</t>
  </si>
  <si>
    <t>Separado</t>
  </si>
  <si>
    <t>Vendido</t>
  </si>
  <si>
    <t>Descartado</t>
  </si>
  <si>
    <t>TOTAL</t>
  </si>
  <si>
    <t>Nombre</t>
  </si>
  <si>
    <t>Celular</t>
  </si>
  <si>
    <t>Proyecto</t>
  </si>
  <si>
    <t>Próximo contacto</t>
  </si>
  <si>
    <t>Notas</t>
  </si>
  <si>
    <t>Registrado</t>
  </si>
  <si>
    <t>Rosa Elena Huamán</t>
  </si>
  <si>
    <t>944555666</t>
  </si>
  <si>
    <t>La Planicie de Asia</t>
  </si>
  <si>
    <t>Quiere lote esquina, visita el sábado con su esposo. Pregunta por luz y agua.</t>
  </si>
  <si>
    <t>Jorge Salas Medina</t>
  </si>
  <si>
    <t>944111222</t>
  </si>
  <si>
    <t>Proforma PF-2026-CR-0004 (dom, 25 oct.): La Planicie de Asia Mz C · Lote 2, S/ 29,000 al contado</t>
  </si>
  <si>
    <t>Ana Lucía Torres Vega</t>
  </si>
  <si>
    <t>955222333</t>
  </si>
  <si>
    <t>Proforma PF-2026-CR-0003 (dom, 25 oct.): La Planicie de Asia Mz B · Lote 7, S/ 29,000, inicial S/ 5,800 + 24 cuotas de S/ 967</t>
  </si>
  <si>
    <t>Luis Alberto Rojas Huamán</t>
  </si>
  <si>
    <t>987000111</t>
  </si>
  <si>
    <t>Proforma PF-2026-CR-0002 (dom, 25 oct.): La Planicie de Asia Mz B · Lote 4, S/ 29,000, inicial S/ 5,800 + 24 cuotas de S/ 967</t>
  </si>
  <si>
    <t>María Fernanda Pérez Quispe</t>
  </si>
  <si>
    <t>987654321</t>
  </si>
  <si>
    <t xml:space="preserve">Proforma PF-2026-CR-0001 (dom, 25 oct.): La Planicie de Asia Mz B · Lote 3, S/ 29,000, inicial S/ 5,800 + 24 cuotas de S/ 967
Separación SEP-2026-CR-0001: S/ 1,500 (Transferencia bancaria). Firmar hasta 01/11/2026.</t>
  </si>
  <si>
    <t>En rojo: clientes con el contacto atrasado. Generado con la herramienta de ventas Vivaldi.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</si>
</sst>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"/>
    <numFmt numFmtId="165" formatCode="dd/mm/yyyy"/>
  </numFmts>
  <fonts count="7" x14ac:knownFonts="1">
    <font>
      <color theme="1"/>
      <family val="2"/>
      <scheme val="minor"/>
      <sz val="11"/>
      <name val="Calibri"/>
    </font>
    <font>
      <b/>
      <color rgb="FF0A3856"/>
      <sz val="18"/>
      <name val="Calibri"/>
    </font>
    <font>
      <color rgb="FF6B7A86"/>
      <sz val="10"/>
      <name val="Calibri"/>
    </font>
    <font>
      <b/>
      <color rgb="FFFFFFFF"/>
      <sz val="10"/>
      <name val="Calibri"/>
    </font>
    <font>
      <color rgb="FF3C3C3A"/>
      <sz val="10"/>
      <name val="Calibri"/>
    </font>
    <font>
      <b/>
      <color rgb="FF0A3856"/>
      <sz val="11"/>
      <name val="Calibri"/>
    </font>
    <font>
      <i/>
      <color rgb="FF6B7A86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A3856"/>
      </patternFill>
    </fill>
    <fill>
      <patternFill patternType="solid">
        <fgColor rgb="FF2A85C5"/>
      </patternFill>
    </fill>
    <fill>
      <patternFill patternType="solid">
        <fgColor rgb="FFF3F7FA"/>
      </patternFill>
    </fill>
    <fill>
      <patternFill patternType="solid">
        <fgColor rgb="FFE3EEF8"/>
      </patternFill>
    </fill>
    <fill>
      <patternFill patternType="solid">
        <fgColor rgb="FFFBE3DF"/>
      </patternFill>
    </fill>
  </fills>
  <borders count="3">
    <border>
      <left/>
      <right/>
      <top/>
      <bottom/>
      <diagonal/>
    </border>
    <border>
      <left style="thin">
        <color rgb="FFDCE5EC"/>
      </left>
      <right style="thin">
        <color rgb="FFDCE5EC"/>
      </right>
      <top style="thin">
        <color rgb="FFDCE5EC"/>
      </top>
      <bottom style="thin">
        <color rgb="FFDCE5EC"/>
      </bottom>
      <diagonal/>
    </border>
    <border>
      <left/>
      <right/>
      <top style="medium">
        <color rgb="FF0A3856"/>
      </top>
      <bottom style="thin">
        <color rgb="FF0A3856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right"/>
    </xf>
    <xf numFmtId="0" fontId="0" fillId="2" borderId="0" xfId="0" applyFill="1"/>
    <xf numFmtId="0" fontId="0" fillId="3" borderId="0" xfId="0" applyFill="1"/>
    <xf numFmtId="0" fontId="3" fillId="2" borderId="1" xfId="0" applyFont="1" applyFill="1" applyBorder="1" applyAlignment="1">
      <alignment horizontal="left" vertical="center" wrapText="1" indent="1"/>
    </xf>
    <xf numFmtId="0" fontId="3" fillId="2" borderId="1" xfId="0" applyFont="1" applyFill="1" applyBorder="1" applyAlignment="1">
      <alignment horizontal="right" vertical="center" wrapText="1" indent="1"/>
    </xf>
    <xf numFmtId="0" fontId="4" fillId="0" borderId="1" xfId="0" applyFont="1" applyBorder="1" applyAlignment="1">
      <alignment horizontal="left" vertical="center" indent="1"/>
    </xf>
    <xf numFmtId="1" fontId="4" fillId="0" borderId="1" xfId="0" applyNumberFormat="1" applyFont="1" applyBorder="1" applyAlignment="1">
      <alignment horizontal="right" vertical="center" indent="1"/>
    </xf>
    <xf numFmtId="164" fontId="4" fillId="0" borderId="1" xfId="0" applyNumberFormat="1" applyFont="1" applyBorder="1" applyAlignment="1">
      <alignment horizontal="right" vertical="center" indent="1"/>
    </xf>
    <xf numFmtId="0" fontId="4" fillId="4" borderId="1" xfId="0" applyFont="1" applyFill="1" applyBorder="1" applyAlignment="1">
      <alignment horizontal="left" vertical="center" indent="1"/>
    </xf>
    <xf numFmtId="1" fontId="4" fillId="4" borderId="1" xfId="0" applyNumberFormat="1" applyFont="1" applyFill="1" applyBorder="1" applyAlignment="1">
      <alignment horizontal="right" vertical="center" indent="1"/>
    </xf>
    <xf numFmtId="164" fontId="4" fillId="4" borderId="1" xfId="0" applyNumberFormat="1" applyFont="1" applyFill="1" applyBorder="1" applyAlignment="1">
      <alignment horizontal="right" vertical="center" indent="1"/>
    </xf>
    <xf numFmtId="0" fontId="5" fillId="5" borderId="2" xfId="0" applyFont="1" applyFill="1" applyBorder="1" applyAlignment="1">
      <alignment horizontal="left" vertical="center" indent="1"/>
    </xf>
    <xf numFmtId="1" fontId="5" fillId="5" borderId="2" xfId="0" applyNumberFormat="1" applyFont="1" applyFill="1" applyBorder="1" applyAlignment="1">
      <alignment horizontal="right" vertical="center" indent="1"/>
    </xf>
    <xf numFmtId="164" fontId="5" fillId="5" borderId="2" xfId="0" applyNumberFormat="1" applyFont="1" applyFill="1" applyBorder="1" applyAlignment="1">
      <alignment horizontal="right" vertical="center" indent="1"/>
    </xf>
    <xf numFmtId="0" fontId="3" fillId="2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indent="1"/>
    </xf>
    <xf numFmtId="165" fontId="4" fillId="6" borderId="1" xfId="0" applyNumberFormat="1" applyFont="1" applyFill="1" applyBorder="1" applyAlignment="1">
      <alignment horizontal="center" vertical="center"/>
    </xf>
    <xf numFmtId="164" fontId="4" fillId="6" borderId="1" xfId="0" applyNumberFormat="1" applyFont="1" applyFill="1" applyBorder="1" applyAlignment="1">
      <alignment horizontal="right" vertical="center" indent="1"/>
    </xf>
    <xf numFmtId="0" fontId="4" fillId="6" borderId="1" xfId="0" applyFont="1" applyFill="1" applyBorder="1" applyAlignment="1">
      <alignment horizontal="left" vertical="center" wrapText="1" indent="1"/>
    </xf>
    <xf numFmtId="165" fontId="4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 wrapText="1" indent="1"/>
    </xf>
    <xf numFmtId="165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 indent="1"/>
    </xf>
    <xf numFmtId="0" fontId="6" fillId="0" borderId="0" xfId="0" applyFont="1" applyAlignment="1">
      <alignment vertical="top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96000</xdr:colOff>
      <xdr:row>1</xdr:row>
      <xdr:rowOff>0</xdr:rowOff>
    </xdr:from>
    <xdr:ext cx="1809750" cy="3714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A85C5"/>
    <pageSetUpPr fitToPage="1"/>
  </sheetPr>
  <dimension ref="A1:H23"/>
  <sheetViews>
    <sheetView workbookViewId="0" showGridLines="0"/>
  </sheetViews>
  <sheetFormatPr defaultRowHeight="18" outlineLevelRow="0" outlineLevelCol="0" x14ac:dyDescent="55" customHeight="1"/>
  <cols>
    <col min="1" max="1" width="28" customWidth="1"/>
    <col min="2" max="2" width="13" customWidth="1"/>
    <col min="3" max="3" width="22" customWidth="1"/>
    <col min="4" max="4" width="16" customWidth="1"/>
    <col min="5" max="6" width="15" customWidth="1"/>
    <col min="7" max="7" width="52" customWidth="1"/>
    <col min="8" max="8" width="13" customWidth="1"/>
  </cols>
  <sheetData>
    <row r="1" ht="14" customHeight="1" x14ac:dyDescent="0.25"/>
    <row r="2" ht="30" customHeight="1" spans="3:8" x14ac:dyDescent="0.25">
      <c r="C2" s="1" t="s">
        <v>0</v>
      </c>
      <c r="D2"/>
      <c r="E2"/>
      <c r="F2"/>
      <c r="G2"/>
      <c r="H2"/>
    </row>
    <row r="3" ht="18" customHeight="1" spans="3:8" x14ac:dyDescent="0.25">
      <c r="C3" s="2" t="s">
        <v>1</v>
      </c>
      <c r="D3"/>
      <c r="E3"/>
      <c r="F3"/>
      <c r="G3"/>
      <c r="H3"/>
    </row>
    <row r="5" ht="5" customHeight="1" spans="1:8" x14ac:dyDescent="0.25">
      <c r="A5" s="3"/>
      <c r="B5" s="3"/>
      <c r="C5" s="3"/>
      <c r="D5" s="3"/>
      <c r="E5" s="4"/>
      <c r="F5" s="4"/>
      <c r="G5" s="4"/>
      <c r="H5" s="4"/>
    </row>
    <row r="7" ht="24" customHeight="1" spans="1:3" x14ac:dyDescent="0.25">
      <c r="A7" s="5" t="s">
        <v>2</v>
      </c>
      <c r="B7" s="6" t="s">
        <v>3</v>
      </c>
      <c r="C7" s="6" t="s">
        <v>4</v>
      </c>
    </row>
    <row r="8" ht="20" customHeight="1" spans="1:3" x14ac:dyDescent="0.25">
      <c r="A8" s="7" t="s">
        <v>5</v>
      </c>
      <c r="B8" s="8">
        <v>1</v>
      </c>
      <c r="C8" s="9">
        <v>0</v>
      </c>
    </row>
    <row r="9" ht="20" customHeight="1" spans="1:3" x14ac:dyDescent="0.25">
      <c r="A9" s="10" t="s">
        <v>6</v>
      </c>
      <c r="B9" s="11">
        <v>3</v>
      </c>
      <c r="C9" s="12">
        <v>87000</v>
      </c>
    </row>
    <row r="10" ht="20" customHeight="1" spans="1:3" x14ac:dyDescent="0.25">
      <c r="A10" s="7" t="s">
        <v>7</v>
      </c>
      <c r="B10" s="8">
        <v>0</v>
      </c>
      <c r="C10" s="9">
        <v>0</v>
      </c>
    </row>
    <row r="11" ht="20" customHeight="1" spans="1:3" x14ac:dyDescent="0.25">
      <c r="A11" s="10" t="s">
        <v>8</v>
      </c>
      <c r="B11" s="11">
        <v>0</v>
      </c>
      <c r="C11" s="12">
        <v>0</v>
      </c>
    </row>
    <row r="12" ht="20" customHeight="1" spans="1:3" x14ac:dyDescent="0.25">
      <c r="A12" s="7" t="s">
        <v>9</v>
      </c>
      <c r="B12" s="8">
        <v>1</v>
      </c>
      <c r="C12" s="9">
        <v>29000</v>
      </c>
    </row>
    <row r="13" ht="20" customHeight="1" spans="1:3" x14ac:dyDescent="0.25">
      <c r="A13" s="10" t="s">
        <v>10</v>
      </c>
      <c r="B13" s="11">
        <v>0</v>
      </c>
      <c r="C13" s="12">
        <v>0</v>
      </c>
    </row>
    <row r="14" ht="24" customHeight="1" spans="1:3" x14ac:dyDescent="0.25">
      <c r="A14" s="13" t="s">
        <v>11</v>
      </c>
      <c r="B14" s="14">
        <f>SUBTOTAL(9,B8:B13)</f>
      </c>
      <c r="C14" s="15">
        <f>SUBTOTAL(9,C8:C13)</f>
      </c>
    </row>
    <row r="16" ht="24" customHeight="1" spans="1:8" x14ac:dyDescent="0.25">
      <c r="A16" s="5" t="s">
        <v>12</v>
      </c>
      <c r="B16" s="5" t="s">
        <v>13</v>
      </c>
      <c r="C16" s="5" t="s">
        <v>14</v>
      </c>
      <c r="D16" s="5" t="s">
        <v>2</v>
      </c>
      <c r="E16" s="16" t="s">
        <v>15</v>
      </c>
      <c r="F16" s="6" t="s">
        <v>4</v>
      </c>
      <c r="G16" s="5" t="s">
        <v>16</v>
      </c>
      <c r="H16" s="16" t="s">
        <v>17</v>
      </c>
    </row>
    <row r="17" spans="1:8" x14ac:dyDescent="0.25">
      <c r="A17" s="17" t="s">
        <v>18</v>
      </c>
      <c r="B17" s="17" t="s">
        <v>19</v>
      </c>
      <c r="C17" s="17" t="s">
        <v>20</v>
      </c>
      <c r="D17" s="17" t="s">
        <v>5</v>
      </c>
      <c r="E17" s="18">
        <v>46315.5</v>
      </c>
      <c r="F17" s="19"/>
      <c r="G17" s="20" t="s">
        <v>21</v>
      </c>
      <c r="H17" s="18">
        <v>46320.5</v>
      </c>
    </row>
    <row r="18" spans="1:8" x14ac:dyDescent="0.25">
      <c r="A18" s="10" t="s">
        <v>22</v>
      </c>
      <c r="B18" s="10" t="s">
        <v>23</v>
      </c>
      <c r="C18" s="10" t="s">
        <v>20</v>
      </c>
      <c r="D18" s="10" t="s">
        <v>6</v>
      </c>
      <c r="E18" s="21">
        <v>46322.5</v>
      </c>
      <c r="F18" s="12">
        <v>29000</v>
      </c>
      <c r="G18" s="22" t="s">
        <v>24</v>
      </c>
      <c r="H18" s="21">
        <v>46320.5</v>
      </c>
    </row>
    <row r="19" spans="1:8" x14ac:dyDescent="0.25">
      <c r="A19" s="7" t="s">
        <v>25</v>
      </c>
      <c r="B19" s="7" t="s">
        <v>26</v>
      </c>
      <c r="C19" s="7" t="s">
        <v>20</v>
      </c>
      <c r="D19" s="7" t="s">
        <v>6</v>
      </c>
      <c r="E19" s="23">
        <v>46322.5</v>
      </c>
      <c r="F19" s="9">
        <v>29000</v>
      </c>
      <c r="G19" s="24" t="s">
        <v>27</v>
      </c>
      <c r="H19" s="23">
        <v>46320.5</v>
      </c>
    </row>
    <row r="20" spans="1:8" x14ac:dyDescent="0.25">
      <c r="A20" s="10" t="s">
        <v>28</v>
      </c>
      <c r="B20" s="10" t="s">
        <v>29</v>
      </c>
      <c r="C20" s="10" t="s">
        <v>20</v>
      </c>
      <c r="D20" s="10" t="s">
        <v>6</v>
      </c>
      <c r="E20" s="21">
        <v>46322.5</v>
      </c>
      <c r="F20" s="12">
        <v>29000</v>
      </c>
      <c r="G20" s="22" t="s">
        <v>30</v>
      </c>
      <c r="H20" s="21">
        <v>46320.5</v>
      </c>
    </row>
    <row r="21" spans="1:8" x14ac:dyDescent="0.25">
      <c r="A21" s="7" t="s">
        <v>31</v>
      </c>
      <c r="B21" s="7" t="s">
        <v>32</v>
      </c>
      <c r="C21" s="7" t="s">
        <v>20</v>
      </c>
      <c r="D21" s="7" t="s">
        <v>9</v>
      </c>
      <c r="E21" s="23">
        <v>46322.5</v>
      </c>
      <c r="F21" s="9">
        <v>29000</v>
      </c>
      <c r="G21" s="24" t="s">
        <v>33</v>
      </c>
      <c r="H21" s="23">
        <v>46320.5</v>
      </c>
    </row>
    <row r="23" ht="42" customHeight="1" spans="1:8" x14ac:dyDescent="0.25">
      <c r="A23" s="25" t="s">
        <v>34</v>
      </c>
      <c r="B23"/>
      <c r="C23"/>
      <c r="D23"/>
      <c r="E23"/>
      <c r="F23"/>
      <c r="G23"/>
      <c r="H23"/>
    </row>
  </sheetData>
  <autoFilter ref="A16:H21"/>
  <mergeCells count="3">
    <mergeCell ref="C2:H2"/>
    <mergeCell ref="C3:H3"/>
    <mergeCell ref="A23:H23"/>
  </mergeCells>
  <pageMargins left="0.4" right="0.4" top="0.5" bottom="0.6" header="0.2" footer="0.3"/>
  <pageSetup paperSize="9" orientation="landscape" fitToWidth="1" fitToHeight="0"/>
  <headerFooter>
    <oddHeader>&amp;R&amp;8&amp;K6B7A86CARTERA DE CLIENTES</oddHeader>
    <oddFooter>&amp;L&amp;8Inmobiliaria &amp;&amp; Constructora Vivaldi S.A.C. · RUC 20604145458&amp;R&amp;8Página &amp;P de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Clientes</vt:lpstr>
    </vt:vector>
  </TitlesOfParts>
  <Company>Inmobiliaria &amp; Constructora Vivaldi S.A.C.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Ramírez</dc:creator>
  <dc:title>clientes-vivaldi-2026-10-25</dc:title>
  <dc:subject>Herramienta de ventas Vivaldi</dc:subject>
  <dc:description/>
  <cp:keywords/>
  <cp:category/>
  <cp:lastModifiedBy>Carlos Ramírez</cp:lastModifiedBy>
  <dcterms:created xsi:type="dcterms:W3CDTF">2026-10-25T16:17:54Z</dcterms:created>
  <dcterms:modified xsi:type="dcterms:W3CDTF">2026-10-25T16:17:54Z</dcterms:modified>
</cp:coreProperties>
</file>